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0000" windowHeight="7000" tabRatio="600" firstSheet="0" activeTab="0" autoFilterDateGrouping="1"/>
  </bookViews>
  <sheets>
    <sheet name="可交换债数据" sheetId="1" state="visible" r:id="rId1"/>
  </sheets>
  <externalReferences>
    <externalReference r:id="rId2"/>
    <externalReference r:id="rId3"/>
    <externalReference r:id="rId4"/>
    <externalReference r:id="rId5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;\-0.00;"/>
    <numFmt numFmtId="165" formatCode="0.00;\-0.00;\-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i val="1"/>
      <color rgb="FF80808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&#19978;&#35777;&#22266;&#25910;&#25104;&#20132;&#26126;&#3245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&#21487;&#20132;&#20538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&#29616;&#21048;&#20132;&#26131;&#20449;&#24687;&#65288;&#36880;&#31508;&#65289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&#20013;&#35777;&#21487;&#20132;&#25442;&#20538;&#21048;&#20272;&#20540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2">
          <cell r="D2" t="str">
            <v>110100.SH</v>
          </cell>
        </row>
        <row r="2">
          <cell r="L2">
            <v>800</v>
          </cell>
          <cell r="M2">
            <v>943.312</v>
          </cell>
        </row>
        <row r="3">
          <cell r="B3">
            <v>46247</v>
          </cell>
        </row>
        <row r="3">
          <cell r="D3" t="str">
            <v>110100.SH</v>
          </cell>
        </row>
        <row r="3">
          <cell r="L3">
            <v>800</v>
          </cell>
          <cell r="M3">
            <v>943.312</v>
          </cell>
        </row>
        <row r="4">
          <cell r="D4" t="str">
            <v>110100.SH</v>
          </cell>
        </row>
        <row r="4">
          <cell r="L4">
            <v>900</v>
          </cell>
          <cell r="M4">
            <v>1061.226</v>
          </cell>
        </row>
        <row r="5">
          <cell r="D5" t="str">
            <v>110100.SH</v>
          </cell>
        </row>
        <row r="5">
          <cell r="L5">
            <v>800</v>
          </cell>
          <cell r="M5">
            <v>943.312</v>
          </cell>
        </row>
        <row r="6">
          <cell r="B6">
            <v>46247</v>
          </cell>
        </row>
        <row r="6">
          <cell r="D6" t="str">
            <v>137187.SH</v>
          </cell>
        </row>
        <row r="6">
          <cell r="L6">
            <v>100</v>
          </cell>
          <cell r="M6">
            <v>107.05</v>
          </cell>
        </row>
        <row r="7">
          <cell r="B7">
            <v>46247</v>
          </cell>
        </row>
        <row r="7">
          <cell r="D7" t="str">
            <v>137197.SH</v>
          </cell>
        </row>
        <row r="7">
          <cell r="L7">
            <v>300</v>
          </cell>
          <cell r="M7">
            <v>312</v>
          </cell>
        </row>
        <row r="8">
          <cell r="B8">
            <v>46247</v>
          </cell>
        </row>
        <row r="8">
          <cell r="D8" t="str">
            <v>137198.SH</v>
          </cell>
        </row>
        <row r="8">
          <cell r="L8">
            <v>500</v>
          </cell>
          <cell r="M8">
            <v>605</v>
          </cell>
        </row>
        <row r="9">
          <cell r="B9">
            <v>46247</v>
          </cell>
        </row>
        <row r="9">
          <cell r="D9" t="str">
            <v>137187.SH</v>
          </cell>
        </row>
        <row r="9">
          <cell r="L9">
            <v>100</v>
          </cell>
          <cell r="M9">
            <v>106.95</v>
          </cell>
        </row>
        <row r="10">
          <cell r="B10">
            <v>46247</v>
          </cell>
        </row>
        <row r="10">
          <cell r="D10" t="str">
            <v>137198.SH</v>
          </cell>
        </row>
        <row r="10">
          <cell r="L10">
            <v>500</v>
          </cell>
          <cell r="M10">
            <v>604.5</v>
          </cell>
        </row>
        <row r="12">
          <cell r="D12" t="str"/>
        </row>
        <row r="12">
          <cell r="L12" t="str"/>
          <cell r="M12" t="str"/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分享"/>
      <sheetName val="可交债"/>
      <sheetName val="Sheet1"/>
    </sheetNames>
    <sheetDataSet>
      <sheetData sheetId="0">
        <row r="1">
          <cell r="A1" t="str">
            <v>证券代码</v>
          </cell>
          <cell r="B1" t="str">
            <v>证券简称</v>
          </cell>
          <cell r="C1" t="str">
            <v>正股代码</v>
          </cell>
          <cell r="D1" t="str">
            <v>正股简称</v>
          </cell>
          <cell r="E1" t="str">
            <v>票面利率(当期)
[单位] %</v>
          </cell>
          <cell r="F1" t="str">
            <v>补偿利率(公布)
[单位] %</v>
          </cell>
          <cell r="G1" t="str">
            <v>转股价格
[交易日期] 最新收盘日
[单位] 元</v>
          </cell>
          <cell r="H1" t="str">
            <v>正股收盘价
[交易日期] 最新收盘日
[复权方式] 不复权
[单位] 元</v>
          </cell>
        </row>
        <row r="2">
          <cell r="A2" t="str">
            <v>137116.SH</v>
          </cell>
          <cell r="B2" t="str">
            <v>20三一EB</v>
          </cell>
          <cell r="C2" t="str">
            <v>600031.SH</v>
          </cell>
          <cell r="D2" t="str">
            <v>三一重工</v>
          </cell>
          <cell r="E2">
            <v>1.5</v>
          </cell>
          <cell r="F2">
            <v>3</v>
          </cell>
          <cell r="G2">
            <v>25.72</v>
          </cell>
          <cell r="H2">
            <v>18.91</v>
          </cell>
        </row>
        <row r="3">
          <cell r="A3" t="str">
            <v>137139.SH</v>
          </cell>
          <cell r="B3" t="str">
            <v>22YN01EB</v>
          </cell>
          <cell r="C3" t="str">
            <v>600900.SH</v>
          </cell>
          <cell r="D3" t="str">
            <v>长江电力</v>
          </cell>
          <cell r="E3">
            <v>4</v>
          </cell>
          <cell r="F3">
            <v>0</v>
          </cell>
          <cell r="G3">
            <v>53.2</v>
          </cell>
          <cell r="H3">
            <v>28.02</v>
          </cell>
        </row>
        <row r="4">
          <cell r="A4" t="str">
            <v>137148.SH</v>
          </cell>
          <cell r="B4" t="str">
            <v>22YN02EB</v>
          </cell>
          <cell r="C4" t="str">
            <v>600900.SH</v>
          </cell>
          <cell r="D4" t="str">
            <v>长江电力</v>
          </cell>
          <cell r="E4">
            <v>3.99</v>
          </cell>
          <cell r="F4">
            <v>0</v>
          </cell>
          <cell r="G4">
            <v>52.85</v>
          </cell>
          <cell r="H4">
            <v>28.02</v>
          </cell>
        </row>
        <row r="5">
          <cell r="A5" t="str">
            <v>137180.SH</v>
          </cell>
          <cell r="B5" t="str">
            <v>23MYEB1</v>
          </cell>
          <cell r="C5" t="str">
            <v>601615.SH</v>
          </cell>
          <cell r="D5" t="str">
            <v>明阳智能</v>
          </cell>
          <cell r="E5">
            <v>2</v>
          </cell>
          <cell r="F5">
            <v>4.5</v>
          </cell>
          <cell r="G5">
            <v>24.24</v>
          </cell>
          <cell r="H5">
            <v>11.9</v>
          </cell>
        </row>
        <row r="6">
          <cell r="A6" t="str">
            <v>137170.SH</v>
          </cell>
          <cell r="B6" t="str">
            <v>23YN01EB</v>
          </cell>
          <cell r="C6" t="str">
            <v>600900.SH</v>
          </cell>
          <cell r="D6" t="str">
            <v>长江电力</v>
          </cell>
          <cell r="E6">
            <v>4.3</v>
          </cell>
          <cell r="F6">
            <v>0</v>
          </cell>
          <cell r="G6">
            <v>48.95</v>
          </cell>
          <cell r="H6">
            <v>28.02</v>
          </cell>
        </row>
        <row r="7">
          <cell r="A7" t="str">
            <v>117216.SZ</v>
          </cell>
          <cell r="B7" t="str">
            <v>23航发EB</v>
          </cell>
          <cell r="C7" t="str">
            <v>000738.SZ</v>
          </cell>
          <cell r="D7" t="str">
            <v>航发控制</v>
          </cell>
          <cell r="E7">
            <v>0.5</v>
          </cell>
          <cell r="F7">
            <v>6</v>
          </cell>
          <cell r="G7">
            <v>26.58</v>
          </cell>
          <cell r="H7">
            <v>18.61</v>
          </cell>
        </row>
        <row r="8">
          <cell r="A8" t="str">
            <v>117210.SZ</v>
          </cell>
          <cell r="B8" t="str">
            <v>23建安E1</v>
          </cell>
          <cell r="C8" t="str">
            <v>000728.SZ</v>
          </cell>
          <cell r="D8" t="str">
            <v>国元证券</v>
          </cell>
          <cell r="E8">
            <v>1.5</v>
          </cell>
          <cell r="F8">
            <v>6.5</v>
          </cell>
          <cell r="G8">
            <v>9.56</v>
          </cell>
          <cell r="H8">
            <v>7.22</v>
          </cell>
        </row>
        <row r="9">
          <cell r="A9" t="str">
            <v>137181.SH</v>
          </cell>
          <cell r="B9" t="str">
            <v>23杰瑞EB</v>
          </cell>
          <cell r="C9" t="str">
            <v>600764.SH</v>
          </cell>
          <cell r="D9" t="str">
            <v>中国海防</v>
          </cell>
          <cell r="E9">
            <v>0.01</v>
          </cell>
          <cell r="F9">
            <v>0</v>
          </cell>
          <cell r="G9">
            <v>27.67</v>
          </cell>
          <cell r="H9">
            <v>18.41</v>
          </cell>
        </row>
        <row r="10">
          <cell r="A10" t="str">
            <v>117212.SZ</v>
          </cell>
          <cell r="B10" t="str">
            <v>23京源EB</v>
          </cell>
          <cell r="C10" t="str">
            <v>000821.SZ</v>
          </cell>
          <cell r="D10" t="str">
            <v>ST京机</v>
          </cell>
          <cell r="E10">
            <v>0.5</v>
          </cell>
          <cell r="F10">
            <v>4.5</v>
          </cell>
          <cell r="G10">
            <v>14.47</v>
          </cell>
          <cell r="H10">
            <v>7.4</v>
          </cell>
        </row>
        <row r="11">
          <cell r="A11" t="str">
            <v>137183.SH</v>
          </cell>
          <cell r="B11" t="str">
            <v>23潞安EB</v>
          </cell>
          <cell r="C11" t="str">
            <v>601699.SH</v>
          </cell>
          <cell r="D11" t="str">
            <v>潞安环能</v>
          </cell>
          <cell r="E11">
            <v>0.01</v>
          </cell>
          <cell r="F11">
            <v>4.5</v>
          </cell>
          <cell r="G11">
            <v>24.91</v>
          </cell>
          <cell r="H11">
            <v>16.27</v>
          </cell>
        </row>
        <row r="12">
          <cell r="A12" t="str">
            <v>137182.SH</v>
          </cell>
          <cell r="B12" t="str">
            <v>23全柴EB</v>
          </cell>
          <cell r="C12" t="str">
            <v>600218.SH</v>
          </cell>
          <cell r="D12" t="str">
            <v>全柴动力</v>
          </cell>
          <cell r="E12">
            <v>1</v>
          </cell>
          <cell r="F12">
            <v>6</v>
          </cell>
          <cell r="G12">
            <v>10.74</v>
          </cell>
          <cell r="H12">
            <v>7.7</v>
          </cell>
        </row>
        <row r="13">
          <cell r="A13" t="str">
            <v>137184.SH</v>
          </cell>
          <cell r="B13" t="str">
            <v>24MYEB1</v>
          </cell>
          <cell r="C13" t="str">
            <v>601615.SH</v>
          </cell>
          <cell r="D13" t="str">
            <v>明阳智能</v>
          </cell>
          <cell r="E13">
            <v>2</v>
          </cell>
          <cell r="F13">
            <v>4.5</v>
          </cell>
          <cell r="G13">
            <v>24.24</v>
          </cell>
          <cell r="H13">
            <v>11.9</v>
          </cell>
        </row>
        <row r="14">
          <cell r="A14" t="str">
            <v>117219.SZ</v>
          </cell>
          <cell r="B14" t="str">
            <v>24船材EB</v>
          </cell>
          <cell r="C14" t="str">
            <v>300003.SZ</v>
          </cell>
          <cell r="D14" t="str">
            <v>乐普医疗</v>
          </cell>
          <cell r="E14">
            <v>0.01</v>
          </cell>
          <cell r="F14">
            <v>3</v>
          </cell>
          <cell r="G14">
            <v>21.07</v>
          </cell>
          <cell r="H14">
            <v>13</v>
          </cell>
        </row>
        <row r="15">
          <cell r="A15" t="str">
            <v>137187.SH</v>
          </cell>
          <cell r="B15" t="str">
            <v>24广晟EB</v>
          </cell>
          <cell r="C15" t="str">
            <v>601728.SH</v>
          </cell>
          <cell r="D15" t="str">
            <v>中国电信</v>
          </cell>
          <cell r="E15">
            <v>0.01</v>
          </cell>
          <cell r="F15">
            <v>4.5</v>
          </cell>
          <cell r="G15">
            <v>6.91</v>
          </cell>
          <cell r="H15">
            <v>6.3</v>
          </cell>
        </row>
        <row r="16">
          <cell r="A16" t="str">
            <v>117222.SZ</v>
          </cell>
          <cell r="B16" t="str">
            <v>24广州数字科技EB</v>
          </cell>
          <cell r="C16" t="str">
            <v>002152.SZ</v>
          </cell>
          <cell r="D16" t="str">
            <v>广电运通</v>
          </cell>
          <cell r="E16">
            <v>0.3</v>
          </cell>
          <cell r="F16">
            <v>5</v>
          </cell>
          <cell r="G16">
            <v>13.75</v>
          </cell>
          <cell r="H16">
            <v>10.22</v>
          </cell>
        </row>
        <row r="17">
          <cell r="A17" t="str">
            <v>117221.SZ</v>
          </cell>
          <cell r="B17" t="str">
            <v>24恒健EB</v>
          </cell>
          <cell r="C17" t="str">
            <v>003816.SZ</v>
          </cell>
          <cell r="D17" t="str">
            <v>中国广核</v>
          </cell>
          <cell r="E17">
            <v>0.01</v>
          </cell>
          <cell r="F17">
            <v>4.5</v>
          </cell>
          <cell r="G17">
            <v>3.98</v>
          </cell>
          <cell r="H17">
            <v>3.93</v>
          </cell>
        </row>
        <row r="18">
          <cell r="A18" t="str">
            <v>137186.SH</v>
          </cell>
          <cell r="B18" t="str">
            <v>24鲁商EB</v>
          </cell>
          <cell r="C18" t="str">
            <v>600223.SH</v>
          </cell>
          <cell r="D18" t="str">
            <v>福瑞达</v>
          </cell>
          <cell r="E18">
            <v>2.5</v>
          </cell>
          <cell r="F18">
            <v>10</v>
          </cell>
          <cell r="G18">
            <v>13.23</v>
          </cell>
          <cell r="H18">
            <v>5.68</v>
          </cell>
        </row>
        <row r="19">
          <cell r="A19" t="str">
            <v>117223.SZ</v>
          </cell>
          <cell r="B19" t="str">
            <v>24明德EB</v>
          </cell>
          <cell r="C19" t="str">
            <v>002352.SZ</v>
          </cell>
          <cell r="D19" t="str">
            <v>顺丰控股</v>
          </cell>
          <cell r="E19">
            <v>2.9</v>
          </cell>
        </row>
        <row r="19">
          <cell r="G19">
            <v>55.05</v>
          </cell>
          <cell r="H19">
            <v>33.23</v>
          </cell>
        </row>
        <row r="20">
          <cell r="A20" t="str">
            <v>137192.SH</v>
          </cell>
          <cell r="B20" t="str">
            <v>24蜀道EB</v>
          </cell>
          <cell r="C20" t="str">
            <v>600039.SH</v>
          </cell>
          <cell r="D20" t="str">
            <v>四川路桥</v>
          </cell>
          <cell r="E20">
            <v>0.01</v>
          </cell>
          <cell r="F20">
            <v>3</v>
          </cell>
          <cell r="G20">
            <v>7.88</v>
          </cell>
          <cell r="H20">
            <v>8.42</v>
          </cell>
        </row>
        <row r="21">
          <cell r="A21" t="str">
            <v>137188.SH</v>
          </cell>
          <cell r="B21" t="str">
            <v>24穗港EB</v>
          </cell>
          <cell r="C21" t="str">
            <v>601228.SH</v>
          </cell>
          <cell r="D21" t="str">
            <v>广州港</v>
          </cell>
          <cell r="E21">
            <v>0.1</v>
          </cell>
          <cell r="F21">
            <v>5</v>
          </cell>
          <cell r="G21">
            <v>3.63</v>
          </cell>
          <cell r="H21">
            <v>3.05</v>
          </cell>
        </row>
        <row r="22">
          <cell r="A22" t="str">
            <v>117242.SZ</v>
          </cell>
          <cell r="B22" t="str">
            <v>25成大E1</v>
          </cell>
          <cell r="C22" t="str">
            <v>000776.SZ</v>
          </cell>
          <cell r="D22" t="str">
            <v>广发证券</v>
          </cell>
          <cell r="E22">
            <v>0.01</v>
          </cell>
          <cell r="F22">
            <v>6</v>
          </cell>
          <cell r="G22">
            <v>24.08</v>
          </cell>
          <cell r="H22">
            <v>21.15</v>
          </cell>
        </row>
        <row r="23">
          <cell r="A23" t="str">
            <v>117247.SZ</v>
          </cell>
          <cell r="B23" t="str">
            <v>25成大E2</v>
          </cell>
          <cell r="C23" t="str">
            <v>000776.SZ</v>
          </cell>
          <cell r="D23" t="str">
            <v>广发证券</v>
          </cell>
          <cell r="E23">
            <v>0.01</v>
          </cell>
          <cell r="F23">
            <v>6</v>
          </cell>
          <cell r="G23">
            <v>24.08</v>
          </cell>
          <cell r="H23">
            <v>21.15</v>
          </cell>
        </row>
        <row r="24">
          <cell r="A24" t="str">
            <v>117231.SZ</v>
          </cell>
          <cell r="B24" t="str">
            <v>25华强E1</v>
          </cell>
          <cell r="C24" t="str">
            <v>000062.SZ</v>
          </cell>
          <cell r="D24" t="str">
            <v>深圳华强</v>
          </cell>
          <cell r="E24">
            <v>0.01</v>
          </cell>
          <cell r="F24">
            <v>6</v>
          </cell>
          <cell r="G24">
            <v>29.87</v>
          </cell>
          <cell r="H24">
            <v>23.53</v>
          </cell>
        </row>
        <row r="25">
          <cell r="A25" t="str">
            <v>117232.SZ</v>
          </cell>
          <cell r="B25" t="str">
            <v>25华强E2</v>
          </cell>
          <cell r="C25" t="str">
            <v>000062.SZ</v>
          </cell>
          <cell r="D25" t="str">
            <v>深圳华强</v>
          </cell>
          <cell r="E25">
            <v>0.01</v>
          </cell>
          <cell r="F25">
            <v>6</v>
          </cell>
          <cell r="G25">
            <v>29.87</v>
          </cell>
          <cell r="H25">
            <v>23.53</v>
          </cell>
        </row>
        <row r="26">
          <cell r="A26" t="str">
            <v>117245.SZ</v>
          </cell>
          <cell r="B26" t="str">
            <v>25华强E3</v>
          </cell>
          <cell r="C26" t="str">
            <v>000062.SZ</v>
          </cell>
          <cell r="D26" t="str">
            <v>深圳华强</v>
          </cell>
          <cell r="E26">
            <v>0.01</v>
          </cell>
          <cell r="F26">
            <v>3</v>
          </cell>
          <cell r="G26">
            <v>29.87</v>
          </cell>
          <cell r="H26">
            <v>23.53</v>
          </cell>
        </row>
        <row r="27">
          <cell r="A27" t="str">
            <v>117238.SZ</v>
          </cell>
          <cell r="B27" t="str">
            <v>25霍煤EB</v>
          </cell>
          <cell r="C27" t="str">
            <v>002128.SZ</v>
          </cell>
          <cell r="D27" t="str">
            <v>电投能源</v>
          </cell>
          <cell r="E27">
            <v>0.5</v>
          </cell>
          <cell r="F27">
            <v>15</v>
          </cell>
          <cell r="G27">
            <v>53.7</v>
          </cell>
          <cell r="H27">
            <v>27.42</v>
          </cell>
        </row>
        <row r="28">
          <cell r="A28" t="str">
            <v>137195.SH</v>
          </cell>
          <cell r="B28" t="str">
            <v>25康01EB</v>
          </cell>
          <cell r="C28" t="str">
            <v>601127.SH</v>
          </cell>
          <cell r="D28" t="str">
            <v>赛力斯</v>
          </cell>
          <cell r="E28">
            <v>0.1</v>
          </cell>
          <cell r="F28">
            <v>9</v>
          </cell>
          <cell r="G28">
            <v>121.2</v>
          </cell>
          <cell r="H28">
            <v>55.83</v>
          </cell>
        </row>
        <row r="29">
          <cell r="A29" t="str">
            <v>137196.SH</v>
          </cell>
          <cell r="B29" t="str">
            <v>25康02EB</v>
          </cell>
          <cell r="C29" t="str">
            <v>601127.SH</v>
          </cell>
          <cell r="D29" t="str">
            <v>赛力斯</v>
          </cell>
          <cell r="E29">
            <v>0.1</v>
          </cell>
          <cell r="F29">
            <v>9</v>
          </cell>
          <cell r="G29">
            <v>121.2</v>
          </cell>
          <cell r="H29">
            <v>55.83</v>
          </cell>
        </row>
        <row r="30">
          <cell r="A30" t="str">
            <v>117246.SZ</v>
          </cell>
          <cell r="B30" t="str">
            <v>25盛虹EB</v>
          </cell>
          <cell r="C30" t="str">
            <v>000301.SZ</v>
          </cell>
          <cell r="D30" t="str">
            <v>东方盛虹</v>
          </cell>
          <cell r="E30">
            <v>0.1</v>
          </cell>
          <cell r="F30">
            <v>5</v>
          </cell>
          <cell r="G30">
            <v>12.5</v>
          </cell>
          <cell r="H30">
            <v>12.92</v>
          </cell>
        </row>
        <row r="31">
          <cell r="A31" t="str">
            <v>137194.SH</v>
          </cell>
          <cell r="B31" t="str">
            <v>25蜀道EB</v>
          </cell>
          <cell r="C31" t="str">
            <v>600039.SH</v>
          </cell>
          <cell r="D31" t="str">
            <v>四川路桥</v>
          </cell>
          <cell r="E31">
            <v>0.01</v>
          </cell>
          <cell r="F31">
            <v>3</v>
          </cell>
          <cell r="G31">
            <v>8.13</v>
          </cell>
          <cell r="H31">
            <v>8.42</v>
          </cell>
        </row>
        <row r="32">
          <cell r="A32" t="str">
            <v>117236.SZ</v>
          </cell>
          <cell r="B32" t="str">
            <v>25顺控KEB1</v>
          </cell>
          <cell r="C32" t="str">
            <v>003039.SZ</v>
          </cell>
          <cell r="D32" t="str">
            <v>顺控发展</v>
          </cell>
          <cell r="E32">
            <v>0.01</v>
          </cell>
          <cell r="F32">
            <v>3</v>
          </cell>
          <cell r="G32">
            <v>14.57</v>
          </cell>
          <cell r="H32">
            <v>11.98</v>
          </cell>
        </row>
        <row r="33">
          <cell r="A33" t="str">
            <v>117244.SZ</v>
          </cell>
          <cell r="B33" t="str">
            <v>25顺控KEB2</v>
          </cell>
          <cell r="C33" t="str">
            <v>003039.SZ</v>
          </cell>
          <cell r="D33" t="str">
            <v>顺控发展</v>
          </cell>
          <cell r="E33">
            <v>0.01</v>
          </cell>
          <cell r="F33">
            <v>3</v>
          </cell>
          <cell r="G33">
            <v>14.87</v>
          </cell>
          <cell r="H33">
            <v>11.98</v>
          </cell>
        </row>
        <row r="34">
          <cell r="A34" t="str">
            <v>117237.SZ</v>
          </cell>
          <cell r="B34" t="str">
            <v>25万安EB</v>
          </cell>
          <cell r="C34" t="str">
            <v>002590.SZ</v>
          </cell>
          <cell r="D34" t="str">
            <v>万安科技</v>
          </cell>
          <cell r="E34">
            <v>0.1</v>
          </cell>
          <cell r="F34">
            <v>3</v>
          </cell>
          <cell r="G34">
            <v>16.72</v>
          </cell>
          <cell r="H34">
            <v>9.64</v>
          </cell>
        </row>
        <row r="35">
          <cell r="A35" t="str">
            <v>117241.SZ</v>
          </cell>
          <cell r="B35" t="str">
            <v>25新华都EB01</v>
          </cell>
          <cell r="C35" t="str">
            <v>000538.SZ</v>
          </cell>
          <cell r="D35" t="str">
            <v>云南白药</v>
          </cell>
          <cell r="E35">
            <v>0.1</v>
          </cell>
          <cell r="F35">
            <v>6</v>
          </cell>
          <cell r="G35">
            <v>70.08</v>
          </cell>
          <cell r="H35">
            <v>50.55</v>
          </cell>
        </row>
        <row r="36">
          <cell r="A36" t="str">
            <v>117240.SZ</v>
          </cell>
          <cell r="B36" t="str">
            <v>25粤能源EB</v>
          </cell>
          <cell r="C36" t="str">
            <v>000539.SZ</v>
          </cell>
          <cell r="D36" t="str">
            <v>粤电力A</v>
          </cell>
          <cell r="E36">
            <v>0.01</v>
          </cell>
          <cell r="F36">
            <v>1.5</v>
          </cell>
          <cell r="G36">
            <v>7.19</v>
          </cell>
          <cell r="H36">
            <v>5.96</v>
          </cell>
        </row>
        <row r="37">
          <cell r="A37" t="str">
            <v>117230.SZ</v>
          </cell>
          <cell r="B37" t="str">
            <v>25云化KEB</v>
          </cell>
          <cell r="C37" t="str">
            <v>002053.SZ</v>
          </cell>
          <cell r="D37" t="str">
            <v>云南能投</v>
          </cell>
          <cell r="E37">
            <v>0.1</v>
          </cell>
          <cell r="F37">
            <v>1</v>
          </cell>
          <cell r="G37">
            <v>15.87</v>
          </cell>
          <cell r="H37">
            <v>9.57</v>
          </cell>
        </row>
        <row r="38">
          <cell r="A38" t="str">
            <v>137193.SH</v>
          </cell>
          <cell r="B38" t="str">
            <v>25浙报EB</v>
          </cell>
          <cell r="C38" t="str">
            <v>600633.SH</v>
          </cell>
          <cell r="D38" t="str">
            <v>浙数文化</v>
          </cell>
          <cell r="E38">
            <v>0.01</v>
          </cell>
          <cell r="F38">
            <v>3</v>
          </cell>
          <cell r="G38">
            <v>13.94</v>
          </cell>
          <cell r="H38">
            <v>11.16</v>
          </cell>
        </row>
        <row r="39">
          <cell r="A39" t="str">
            <v>117243.SZ</v>
          </cell>
          <cell r="B39" t="str">
            <v>25众兴EB02</v>
          </cell>
          <cell r="C39" t="str">
            <v>001203.SZ</v>
          </cell>
          <cell r="D39" t="str">
            <v>大中矿业</v>
          </cell>
          <cell r="E39">
            <v>0.5</v>
          </cell>
          <cell r="F39">
            <v>6</v>
          </cell>
          <cell r="G39">
            <v>32.09</v>
          </cell>
          <cell r="H39">
            <v>28.16</v>
          </cell>
        </row>
        <row r="40">
          <cell r="A40" t="str">
            <v>117239.SZ</v>
          </cell>
          <cell r="B40" t="str">
            <v>25紫金E1</v>
          </cell>
          <cell r="C40" t="str">
            <v>002226.SZ</v>
          </cell>
          <cell r="D40" t="str">
            <v>江南化工</v>
          </cell>
          <cell r="E40">
            <v>0.01</v>
          </cell>
          <cell r="F40">
            <v>0</v>
          </cell>
          <cell r="G40">
            <v>5.66</v>
          </cell>
          <cell r="H40">
            <v>5.32</v>
          </cell>
        </row>
        <row r="41">
          <cell r="A41" t="str">
            <v>137208.SH</v>
          </cell>
          <cell r="B41" t="str">
            <v>26AQKEB</v>
          </cell>
          <cell r="C41" t="str">
            <v>600298.SH</v>
          </cell>
          <cell r="D41" t="str">
            <v>安琪酵母</v>
          </cell>
          <cell r="E41">
            <v>0.01</v>
          </cell>
          <cell r="F41">
            <v>0</v>
          </cell>
          <cell r="G41">
            <v>60</v>
          </cell>
          <cell r="H41">
            <v>43.04</v>
          </cell>
        </row>
        <row r="42">
          <cell r="A42" t="str">
            <v>137202.SH</v>
          </cell>
          <cell r="B42" t="str">
            <v>26GXKEB1</v>
          </cell>
          <cell r="C42" t="str">
            <v>600183.SH</v>
          </cell>
          <cell r="D42" t="str">
            <v>生益科技</v>
          </cell>
          <cell r="E42">
            <v>0.01</v>
          </cell>
          <cell r="F42">
            <v>0</v>
          </cell>
          <cell r="G42">
            <v>65.43</v>
          </cell>
          <cell r="H42">
            <v>143.23</v>
          </cell>
        </row>
        <row r="43">
          <cell r="A43" t="str">
            <v>137198.SH</v>
          </cell>
          <cell r="B43" t="str">
            <v>26SYKEB</v>
          </cell>
          <cell r="C43" t="str">
            <v>688183.SH</v>
          </cell>
          <cell r="D43" t="str">
            <v>生益电子</v>
          </cell>
          <cell r="E43">
            <v>0.01</v>
          </cell>
          <cell r="F43">
            <v>0</v>
          </cell>
          <cell r="G43">
            <v>96.84</v>
          </cell>
          <cell r="H43">
            <v>111.9</v>
          </cell>
        </row>
        <row r="44">
          <cell r="A44" t="str">
            <v>137197.SH</v>
          </cell>
          <cell r="B44" t="str">
            <v>26福达EB</v>
          </cell>
          <cell r="C44" t="str">
            <v>603166.SH</v>
          </cell>
          <cell r="D44" t="str">
            <v>福达股份</v>
          </cell>
          <cell r="E44">
            <v>0.1</v>
          </cell>
          <cell r="F44">
            <v>3</v>
          </cell>
          <cell r="G44">
            <v>17.3</v>
          </cell>
          <cell r="H44">
            <v>11.69</v>
          </cell>
        </row>
        <row r="45">
          <cell r="A45" t="str">
            <v>117250.SZ</v>
          </cell>
          <cell r="B45" t="str">
            <v>26国泰E1</v>
          </cell>
          <cell r="C45" t="str">
            <v>301238.SZ</v>
          </cell>
          <cell r="D45" t="str">
            <v>瑞泰新材</v>
          </cell>
          <cell r="E45">
            <v>0.01</v>
          </cell>
          <cell r="F45">
            <v>0</v>
          </cell>
          <cell r="G45">
            <v>23.18</v>
          </cell>
          <cell r="H45">
            <v>16.71</v>
          </cell>
        </row>
        <row r="46">
          <cell r="A46" t="str">
            <v>137203.SH</v>
          </cell>
          <cell r="B46" t="str">
            <v>26杭钢EB</v>
          </cell>
          <cell r="C46" t="str">
            <v>600126.SH</v>
          </cell>
          <cell r="D46" t="str">
            <v>杭钢股份</v>
          </cell>
          <cell r="E46">
            <v>0.01</v>
          </cell>
          <cell r="F46">
            <v>0</v>
          </cell>
          <cell r="G46">
            <v>10.99</v>
          </cell>
          <cell r="H46">
            <v>7.18</v>
          </cell>
        </row>
        <row r="47">
          <cell r="A47" t="str">
            <v>117253.SZ</v>
          </cell>
          <cell r="B47" t="str">
            <v>26华邦EB</v>
          </cell>
          <cell r="C47" t="str">
            <v>301069.SZ</v>
          </cell>
          <cell r="D47" t="str">
            <v>凯盛新材</v>
          </cell>
          <cell r="E47">
            <v>0.01</v>
          </cell>
          <cell r="F47">
            <v>1</v>
          </cell>
          <cell r="G47">
            <v>23.96</v>
          </cell>
          <cell r="H47">
            <v>17.25</v>
          </cell>
        </row>
        <row r="48">
          <cell r="A48" t="str">
            <v>132024.SH</v>
          </cell>
          <cell r="B48" t="str">
            <v>26江铜EB</v>
          </cell>
          <cell r="C48" t="str">
            <v>600362.SH</v>
          </cell>
          <cell r="D48" t="str">
            <v>江西铜业</v>
          </cell>
          <cell r="E48">
            <v>0.01</v>
          </cell>
          <cell r="F48">
            <v>5</v>
          </cell>
          <cell r="G48">
            <v>52.4</v>
          </cell>
          <cell r="H48">
            <v>46.47</v>
          </cell>
        </row>
        <row r="49">
          <cell r="A49" t="str">
            <v>117252.SZ</v>
          </cell>
          <cell r="B49" t="str">
            <v>26九洲KEB1</v>
          </cell>
          <cell r="C49" t="str">
            <v>000801.SZ</v>
          </cell>
          <cell r="D49" t="str">
            <v>四川九洲</v>
          </cell>
          <cell r="E49">
            <v>0.01</v>
          </cell>
          <cell r="F49">
            <v>3</v>
          </cell>
          <cell r="G49">
            <v>21.27</v>
          </cell>
          <cell r="H49">
            <v>11.49</v>
          </cell>
        </row>
        <row r="50">
          <cell r="A50" t="str">
            <v>137200.SH</v>
          </cell>
          <cell r="B50" t="str">
            <v>26闽资EB</v>
          </cell>
          <cell r="C50" t="str">
            <v>688010.SH</v>
          </cell>
          <cell r="D50" t="str">
            <v>福光股份</v>
          </cell>
          <cell r="E50">
            <v>0.01</v>
          </cell>
          <cell r="F50">
            <v>4.5</v>
          </cell>
          <cell r="G50">
            <v>40.53</v>
          </cell>
          <cell r="H50">
            <v>27.35</v>
          </cell>
        </row>
        <row r="51">
          <cell r="A51" t="str">
            <v>137206.SH</v>
          </cell>
          <cell r="B51" t="str">
            <v>26南K1EB</v>
          </cell>
          <cell r="C51" t="str">
            <v>600219.SH</v>
          </cell>
          <cell r="D51" t="str">
            <v>南山铝业</v>
          </cell>
          <cell r="E51">
            <v>0.1</v>
          </cell>
          <cell r="F51">
            <v>0</v>
          </cell>
          <cell r="G51">
            <v>7.36</v>
          </cell>
          <cell r="H51">
            <v>4.97</v>
          </cell>
        </row>
        <row r="52">
          <cell r="A52" t="str">
            <v>137207.SH</v>
          </cell>
          <cell r="B52" t="str">
            <v>26南K2EB</v>
          </cell>
          <cell r="C52" t="str">
            <v>600219.SH</v>
          </cell>
          <cell r="D52" t="str">
            <v>南山铝业</v>
          </cell>
          <cell r="E52">
            <v>1.6</v>
          </cell>
          <cell r="F52">
            <v>0</v>
          </cell>
          <cell r="G52">
            <v>29.86</v>
          </cell>
          <cell r="H52">
            <v>4.97</v>
          </cell>
        </row>
        <row r="53">
          <cell r="A53" t="str">
            <v>137204.SH</v>
          </cell>
          <cell r="B53" t="str">
            <v>26蜀道EB</v>
          </cell>
          <cell r="C53" t="str">
            <v>600039.SH</v>
          </cell>
          <cell r="D53" t="str">
            <v>四川路桥</v>
          </cell>
          <cell r="E53">
            <v>0.01</v>
          </cell>
          <cell r="F53">
            <v>1</v>
          </cell>
          <cell r="G53">
            <v>10.52</v>
          </cell>
          <cell r="H53">
            <v>8.42</v>
          </cell>
        </row>
        <row r="54">
          <cell r="A54" t="str">
            <v>117251.SZ</v>
          </cell>
          <cell r="B54" t="str">
            <v>26顺控KEB1</v>
          </cell>
          <cell r="C54" t="str">
            <v>003039.SZ</v>
          </cell>
          <cell r="D54" t="str">
            <v>顺控发展</v>
          </cell>
          <cell r="E54">
            <v>0.01</v>
          </cell>
          <cell r="F54">
            <v>3</v>
          </cell>
          <cell r="G54">
            <v>17.77</v>
          </cell>
          <cell r="H54">
            <v>11.98</v>
          </cell>
        </row>
        <row r="55">
          <cell r="A55" t="str">
            <v>117249.SZ</v>
          </cell>
          <cell r="B55" t="str">
            <v>26希望KEB1</v>
          </cell>
          <cell r="C55" t="str">
            <v>000876.SZ</v>
          </cell>
          <cell r="D55" t="str">
            <v>新希望</v>
          </cell>
          <cell r="E55">
            <v>0.1</v>
          </cell>
          <cell r="F55">
            <v>1</v>
          </cell>
          <cell r="G55">
            <v>12.38</v>
          </cell>
          <cell r="H55">
            <v>7</v>
          </cell>
        </row>
        <row r="56">
          <cell r="A56" t="str">
            <v>117248.SZ</v>
          </cell>
          <cell r="B56" t="str">
            <v>26盈峰EB</v>
          </cell>
          <cell r="C56" t="str">
            <v>000967.SZ</v>
          </cell>
          <cell r="D56" t="str">
            <v>盈峰环境</v>
          </cell>
          <cell r="E56">
            <v>0.01</v>
          </cell>
          <cell r="F56">
            <v>3</v>
          </cell>
          <cell r="G56">
            <v>9.87</v>
          </cell>
          <cell r="H56">
            <v>9.33</v>
          </cell>
        </row>
        <row r="57">
          <cell r="A57" t="str">
            <v>117255.SZ</v>
          </cell>
          <cell r="B57" t="str">
            <v>26粤能源EB</v>
          </cell>
          <cell r="C57" t="str">
            <v>003035.SZ</v>
          </cell>
          <cell r="D57" t="str">
            <v>南网能源</v>
          </cell>
          <cell r="E57">
            <v>0.01</v>
          </cell>
          <cell r="F57">
            <v>0</v>
          </cell>
          <cell r="G57">
            <v>12.88</v>
          </cell>
          <cell r="H57">
            <v>5.59</v>
          </cell>
        </row>
        <row r="58">
          <cell r="A58" t="str">
            <v>117254.SZ</v>
          </cell>
          <cell r="B58" t="str">
            <v>26粤能源KEB</v>
          </cell>
          <cell r="C58" t="str">
            <v>000539.SZ</v>
          </cell>
          <cell r="D58" t="str">
            <v>粤电力A</v>
          </cell>
          <cell r="E58">
            <v>0.01</v>
          </cell>
          <cell r="F58">
            <v>0</v>
          </cell>
          <cell r="G58">
            <v>12.48</v>
          </cell>
          <cell r="H58">
            <v>5.96</v>
          </cell>
        </row>
        <row r="59">
          <cell r="A59" t="str">
            <v>132026.SH</v>
          </cell>
          <cell r="B59" t="str">
            <v>G三峡EB2</v>
          </cell>
          <cell r="C59" t="str">
            <v>600900.SH</v>
          </cell>
          <cell r="D59" t="str">
            <v>长江电力</v>
          </cell>
          <cell r="E59">
            <v>0.1</v>
          </cell>
          <cell r="F59">
            <v>8</v>
          </cell>
          <cell r="G59">
            <v>21.2</v>
          </cell>
          <cell r="H59">
            <v>28.02</v>
          </cell>
        </row>
        <row r="60">
          <cell r="A60" t="str">
            <v>137199.SH</v>
          </cell>
          <cell r="B60" t="str">
            <v>晋交KEB</v>
          </cell>
          <cell r="C60" t="str">
            <v>603112.SH</v>
          </cell>
          <cell r="D60" t="str">
            <v>华翔股份</v>
          </cell>
          <cell r="E60">
            <v>0.01</v>
          </cell>
          <cell r="F60">
            <v>1.5</v>
          </cell>
          <cell r="G60">
            <v>19.79</v>
          </cell>
          <cell r="H60">
            <v>15.44</v>
          </cell>
        </row>
        <row r="61">
          <cell r="A61" t="str">
            <v>137201.SH</v>
          </cell>
          <cell r="B61" t="str">
            <v>凌云KEB</v>
          </cell>
          <cell r="C61" t="str">
            <v>600480.SH</v>
          </cell>
          <cell r="D61" t="str">
            <v>凌云股份</v>
          </cell>
          <cell r="E61">
            <v>0.01</v>
          </cell>
          <cell r="F61">
            <v>3</v>
          </cell>
          <cell r="G61">
            <v>13.3</v>
          </cell>
          <cell r="H61">
            <v>8.77</v>
          </cell>
        </row>
        <row r="63">
          <cell r="A63" t="str">
            <v>数据来源：Wind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现券交易信息（逐笔）"/>
    </sheetNames>
    <sheetDataSet>
      <sheetData sheetId="0">
        <row r="2">
          <cell r="A2" t="str">
            <v>2026-08-13</v>
          </cell>
          <cell r="B2" t="str">
            <v xml:space="preserve">117239  </v>
          </cell>
        </row>
        <row r="2">
          <cell r="F2" t="str">
            <v>1,500.00</v>
          </cell>
          <cell r="G2" t="str">
            <v>1,650.0000</v>
          </cell>
        </row>
        <row r="3">
          <cell r="A3" t="str">
            <v>2026-08-13</v>
          </cell>
          <cell r="B3" t="str">
            <v xml:space="preserve">117240  </v>
          </cell>
        </row>
        <row r="3">
          <cell r="F3" t="str">
            <v>440.00</v>
          </cell>
          <cell r="G3" t="str">
            <v>471.2400</v>
          </cell>
        </row>
        <row r="4">
          <cell r="A4" t="str">
            <v>2026-08-13</v>
          </cell>
          <cell r="B4" t="str">
            <v xml:space="preserve">117240  </v>
          </cell>
        </row>
        <row r="4">
          <cell r="F4" t="str">
            <v>340.00</v>
          </cell>
          <cell r="G4" t="str">
            <v>365.1600</v>
          </cell>
        </row>
        <row r="5">
          <cell r="A5" t="str">
            <v>2026-08-13</v>
          </cell>
          <cell r="B5" t="str">
            <v xml:space="preserve">117240  </v>
          </cell>
        </row>
        <row r="5">
          <cell r="F5" t="str">
            <v>100.00</v>
          </cell>
          <cell r="G5" t="str">
            <v>107.4000</v>
          </cell>
        </row>
        <row r="6">
          <cell r="A6" t="str">
            <v>2026-08-13</v>
          </cell>
          <cell r="B6" t="str">
            <v xml:space="preserve">117241  </v>
          </cell>
        </row>
        <row r="6">
          <cell r="F6" t="str">
            <v>400.00</v>
          </cell>
          <cell r="G6" t="str">
            <v>430.2000</v>
          </cell>
        </row>
        <row r="7">
          <cell r="A7" t="str">
            <v>2026-08-13</v>
          </cell>
          <cell r="B7" t="str">
            <v xml:space="preserve">117241  </v>
          </cell>
        </row>
        <row r="7">
          <cell r="F7" t="str">
            <v>400.00</v>
          </cell>
          <cell r="G7" t="str">
            <v>430.0000</v>
          </cell>
        </row>
        <row r="8">
          <cell r="A8" t="str">
            <v>2026-08-13</v>
          </cell>
          <cell r="B8" t="str">
            <v xml:space="preserve">117246  </v>
          </cell>
        </row>
        <row r="8">
          <cell r="F8" t="str">
            <v>500.00</v>
          </cell>
          <cell r="G8" t="str">
            <v>575.0000</v>
          </cell>
        </row>
        <row r="9">
          <cell r="A9" t="str">
            <v>2026-08-13</v>
          </cell>
          <cell r="B9" t="str">
            <v xml:space="preserve">117252  </v>
          </cell>
        </row>
        <row r="9">
          <cell r="F9" t="str">
            <v>1,000.00</v>
          </cell>
          <cell r="G9" t="str">
            <v>1,049.5000</v>
          </cell>
        </row>
        <row r="10">
          <cell r="A10" t="str">
            <v>2026-08-13</v>
          </cell>
          <cell r="B10" t="str">
            <v xml:space="preserve">117252  </v>
          </cell>
        </row>
        <row r="10">
          <cell r="F10" t="str">
            <v>700.00</v>
          </cell>
          <cell r="G10" t="str">
            <v>735.0000</v>
          </cell>
        </row>
        <row r="11">
          <cell r="A11" t="str">
            <v>2026-08-13</v>
          </cell>
          <cell r="B11" t="str">
            <v xml:space="preserve">117252  </v>
          </cell>
        </row>
        <row r="11">
          <cell r="F11" t="str">
            <v>700.00</v>
          </cell>
          <cell r="G11" t="str">
            <v>735.0000</v>
          </cell>
        </row>
        <row r="12">
          <cell r="A12" t="str">
            <v>2026-08-13</v>
          </cell>
          <cell r="B12" t="str">
            <v xml:space="preserve">117252  </v>
          </cell>
        </row>
        <row r="12">
          <cell r="F12" t="str">
            <v>300.00</v>
          </cell>
          <cell r="G12" t="str">
            <v>315.0000</v>
          </cell>
        </row>
        <row r="13">
          <cell r="A13" t="str">
            <v>2026-08-13</v>
          </cell>
          <cell r="B13" t="str">
            <v xml:space="preserve">117252  </v>
          </cell>
        </row>
        <row r="13">
          <cell r="F13" t="str">
            <v>200.00</v>
          </cell>
          <cell r="G13" t="str">
            <v>209.8000</v>
          </cell>
        </row>
        <row r="14">
          <cell r="A14" t="str">
            <v>2026-08-13</v>
          </cell>
          <cell r="B14" t="str">
            <v xml:space="preserve">117252  </v>
          </cell>
        </row>
        <row r="14">
          <cell r="F14" t="str">
            <v>200.00</v>
          </cell>
          <cell r="G14" t="str">
            <v>209.8000</v>
          </cell>
        </row>
        <row r="15">
          <cell r="A15" t="str">
            <v>2026-08-13</v>
          </cell>
          <cell r="B15" t="str">
            <v xml:space="preserve">117252  </v>
          </cell>
        </row>
        <row r="15">
          <cell r="F15" t="str">
            <v>200.00</v>
          </cell>
          <cell r="G15" t="str">
            <v>209.8000</v>
          </cell>
        </row>
        <row r="16">
          <cell r="A16" t="str">
            <v>2026-08-13</v>
          </cell>
          <cell r="B16" t="str">
            <v xml:space="preserve">117252  </v>
          </cell>
        </row>
        <row r="16">
          <cell r="F16" t="str">
            <v>100.00</v>
          </cell>
          <cell r="G16" t="str">
            <v>104.9000</v>
          </cell>
        </row>
        <row r="17">
          <cell r="A17" t="str">
            <v>2026-08-13</v>
          </cell>
          <cell r="B17" t="str">
            <v xml:space="preserve">117254  </v>
          </cell>
        </row>
        <row r="17">
          <cell r="F17" t="str">
            <v>1,000.00</v>
          </cell>
          <cell r="G17" t="str">
            <v>1,000.0000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中证可交换债券估值"/>
    </sheetNames>
    <sheetDataSet>
      <sheetData sheetId="0">
        <row r="1">
          <cell r="A1" t="str">
            <v>债券代码</v>
          </cell>
          <cell r="B1" t="str">
            <v>债券简称</v>
          </cell>
          <cell r="C1" t="str">
            <v>日期</v>
          </cell>
          <cell r="D1" t="str">
            <v>市场</v>
          </cell>
          <cell r="E1" t="str">
            <v>估值价格(元)</v>
          </cell>
          <cell r="F1" t="str">
            <v>期权价值(元)</v>
          </cell>
          <cell r="G1" t="str">
            <v>债底全价(元)</v>
          </cell>
          <cell r="H1" t="str">
            <v>债底净价(元)</v>
          </cell>
        </row>
        <row r="2">
          <cell r="A2" t="str">
            <v>110815</v>
          </cell>
          <cell r="B2" t="str">
            <v>九丰定01</v>
          </cell>
          <cell r="C2" t="str">
            <v>2026-08-13</v>
          </cell>
          <cell r="D2" t="str">
            <v>上交所</v>
          </cell>
          <cell r="E2">
            <v>183.5369</v>
          </cell>
          <cell r="F2">
            <v>87.499</v>
          </cell>
          <cell r="G2">
            <v>96.0379</v>
          </cell>
          <cell r="H2">
            <v>96.0017</v>
          </cell>
        </row>
        <row r="3">
          <cell r="A3" t="str">
            <v>110817</v>
          </cell>
          <cell r="B3" t="str">
            <v>保利定转</v>
          </cell>
          <cell r="C3" t="str">
            <v>2026-08-13</v>
          </cell>
          <cell r="D3" t="str">
            <v>上交所</v>
          </cell>
          <cell r="E3">
            <v>105.1089</v>
          </cell>
          <cell r="F3">
            <v>0.7139</v>
          </cell>
          <cell r="G3">
            <v>104.395</v>
          </cell>
          <cell r="H3">
            <v>103.834</v>
          </cell>
        </row>
        <row r="4">
          <cell r="A4" t="str">
            <v>110818</v>
          </cell>
          <cell r="B4" t="str">
            <v>华发定转</v>
          </cell>
          <cell r="C4" t="str">
            <v>2026-08-13</v>
          </cell>
          <cell r="D4" t="str">
            <v>上交所</v>
          </cell>
          <cell r="E4">
            <v>105.4654</v>
          </cell>
          <cell r="F4">
            <v>2.2881</v>
          </cell>
          <cell r="G4">
            <v>103.1773</v>
          </cell>
          <cell r="H4">
            <v>100.7658</v>
          </cell>
        </row>
        <row r="5">
          <cell r="A5" t="str">
            <v>117210</v>
          </cell>
          <cell r="B5" t="str">
            <v>23建安E1</v>
          </cell>
          <cell r="C5" t="str">
            <v>2026-08-13</v>
          </cell>
          <cell r="D5" t="str">
            <v>深交所</v>
          </cell>
          <cell r="E5">
            <v>107.9204</v>
          </cell>
          <cell r="F5">
            <v>0</v>
          </cell>
          <cell r="G5">
            <v>107.9204</v>
          </cell>
          <cell r="H5">
            <v>106.4903</v>
          </cell>
        </row>
        <row r="6">
          <cell r="A6" t="str">
            <v>117212</v>
          </cell>
          <cell r="B6" t="str">
            <v>23京源EB</v>
          </cell>
          <cell r="C6" t="str">
            <v>2026-08-13</v>
          </cell>
          <cell r="D6" t="str">
            <v>深交所</v>
          </cell>
          <cell r="E6">
            <v>105.304</v>
          </cell>
          <cell r="F6">
            <v>0.1593</v>
          </cell>
          <cell r="G6">
            <v>105.1447</v>
          </cell>
          <cell r="H6">
            <v>104.7406</v>
          </cell>
        </row>
        <row r="7">
          <cell r="A7" t="str">
            <v>117216</v>
          </cell>
          <cell r="B7" t="str">
            <v>23航发EB</v>
          </cell>
          <cell r="C7" t="str">
            <v>2026-08-13</v>
          </cell>
          <cell r="D7" t="str">
            <v>深交所</v>
          </cell>
          <cell r="E7">
            <v>106.205</v>
          </cell>
          <cell r="F7">
            <v>0.1814</v>
          </cell>
          <cell r="G7">
            <v>106.0236</v>
          </cell>
          <cell r="H7">
            <v>105.6715</v>
          </cell>
        </row>
        <row r="8">
          <cell r="A8" t="str">
            <v>117219</v>
          </cell>
          <cell r="B8" t="str">
            <v>24船材EB</v>
          </cell>
          <cell r="C8" t="str">
            <v>2026-08-13</v>
          </cell>
          <cell r="D8" t="str">
            <v>深交所</v>
          </cell>
          <cell r="E8">
            <v>102.7588</v>
          </cell>
          <cell r="F8">
            <v>0.3867</v>
          </cell>
          <cell r="G8">
            <v>102.3721</v>
          </cell>
          <cell r="H8">
            <v>102.3662</v>
          </cell>
        </row>
        <row r="9">
          <cell r="A9" t="str">
            <v>117221</v>
          </cell>
          <cell r="B9" t="str">
            <v>24恒健EB</v>
          </cell>
          <cell r="C9" t="str">
            <v>2026-08-13</v>
          </cell>
          <cell r="D9" t="str">
            <v>深交所</v>
          </cell>
          <cell r="E9">
            <v>109.1896</v>
          </cell>
          <cell r="F9">
            <v>5.7899</v>
          </cell>
          <cell r="G9">
            <v>103.3997</v>
          </cell>
          <cell r="H9">
            <v>103.3967</v>
          </cell>
        </row>
        <row r="10">
          <cell r="A10" t="str">
            <v>117222</v>
          </cell>
          <cell r="B10" t="str">
            <v>24广州数字科技EB</v>
          </cell>
          <cell r="C10" t="str">
            <v>2026-08-13</v>
          </cell>
          <cell r="D10" t="str">
            <v>深交所</v>
          </cell>
          <cell r="E10">
            <v>105.2803</v>
          </cell>
          <cell r="F10">
            <v>1.077</v>
          </cell>
          <cell r="G10">
            <v>104.2033</v>
          </cell>
          <cell r="H10">
            <v>104.1129</v>
          </cell>
        </row>
        <row r="11">
          <cell r="A11" t="str">
            <v>117223</v>
          </cell>
          <cell r="B11" t="str">
            <v>24明德EB</v>
          </cell>
          <cell r="C11" t="str">
            <v>2026-08-13</v>
          </cell>
          <cell r="D11" t="str">
            <v>深交所</v>
          </cell>
          <cell r="E11">
            <v>101.6341</v>
          </cell>
          <cell r="F11">
            <v>0.0066</v>
          </cell>
          <cell r="G11">
            <v>101.6275</v>
          </cell>
          <cell r="H11">
            <v>100.968</v>
          </cell>
        </row>
        <row r="12">
          <cell r="A12" t="str">
            <v>117230</v>
          </cell>
          <cell r="B12" t="str">
            <v>25云化KEB</v>
          </cell>
          <cell r="C12" t="str">
            <v>2026-08-13</v>
          </cell>
          <cell r="D12" t="str">
            <v>深交所</v>
          </cell>
          <cell r="E12">
            <v>105.9884</v>
          </cell>
          <cell r="F12">
            <v>7.806</v>
          </cell>
          <cell r="G12">
            <v>98.1824</v>
          </cell>
          <cell r="H12">
            <v>98.1643</v>
          </cell>
        </row>
        <row r="13">
          <cell r="A13" t="str">
            <v>117231</v>
          </cell>
          <cell r="B13" t="str">
            <v>25华强E1</v>
          </cell>
          <cell r="C13" t="str">
            <v>2026-08-13</v>
          </cell>
          <cell r="D13" t="str">
            <v>深交所</v>
          </cell>
          <cell r="E13">
            <v>110.2875</v>
          </cell>
          <cell r="F13">
            <v>8.391</v>
          </cell>
          <cell r="G13">
            <v>101.8965</v>
          </cell>
          <cell r="H13">
            <v>101.8947</v>
          </cell>
        </row>
        <row r="14">
          <cell r="A14" t="str">
            <v>117232</v>
          </cell>
          <cell r="B14" t="str">
            <v>25华强E2</v>
          </cell>
          <cell r="C14" t="str">
            <v>2026-08-13</v>
          </cell>
          <cell r="D14" t="str">
            <v>深交所</v>
          </cell>
          <cell r="E14">
            <v>107.5486</v>
          </cell>
          <cell r="F14">
            <v>5.6957</v>
          </cell>
          <cell r="G14">
            <v>101.8529</v>
          </cell>
          <cell r="H14">
            <v>101.8513</v>
          </cell>
        </row>
        <row r="15">
          <cell r="A15" t="str">
            <v>117236</v>
          </cell>
          <cell r="B15" t="str">
            <v>25顺控KEB1</v>
          </cell>
          <cell r="C15" t="str">
            <v>2026-08-13</v>
          </cell>
          <cell r="D15" t="str">
            <v>深交所</v>
          </cell>
          <cell r="E15">
            <v>105.0848</v>
          </cell>
          <cell r="F15">
            <v>5.191</v>
          </cell>
          <cell r="G15">
            <v>99.8938</v>
          </cell>
          <cell r="H15">
            <v>99.8931</v>
          </cell>
        </row>
        <row r="16">
          <cell r="A16" t="str">
            <v>117237</v>
          </cell>
          <cell r="B16" t="str">
            <v>25万安EB</v>
          </cell>
          <cell r="C16" t="str">
            <v>2026-08-13</v>
          </cell>
          <cell r="D16" t="str">
            <v>深交所</v>
          </cell>
          <cell r="E16">
            <v>101.4593</v>
          </cell>
          <cell r="F16">
            <v>2.5844</v>
          </cell>
          <cell r="G16">
            <v>98.8749</v>
          </cell>
          <cell r="H16">
            <v>98.8694</v>
          </cell>
        </row>
        <row r="17">
          <cell r="A17" t="str">
            <v>117238</v>
          </cell>
          <cell r="B17" t="str">
            <v>25霍煤EB</v>
          </cell>
          <cell r="C17" t="str">
            <v>2026-08-13</v>
          </cell>
          <cell r="D17" t="str">
            <v>深交所</v>
          </cell>
          <cell r="E17">
            <v>108.2595</v>
          </cell>
          <cell r="F17">
            <v>1.0025</v>
          </cell>
          <cell r="G17">
            <v>107.257</v>
          </cell>
          <cell r="H17">
            <v>106.7762</v>
          </cell>
        </row>
        <row r="18">
          <cell r="A18" t="str">
            <v>117239</v>
          </cell>
          <cell r="B18" t="str">
            <v>25紫金E1</v>
          </cell>
          <cell r="C18" t="str">
            <v>2026-08-13</v>
          </cell>
          <cell r="D18" t="str">
            <v>深交所</v>
          </cell>
          <cell r="E18">
            <v>114.6726</v>
          </cell>
          <cell r="F18">
            <v>17.9858</v>
          </cell>
          <cell r="G18">
            <v>96.6868</v>
          </cell>
          <cell r="H18">
            <v>96.6776</v>
          </cell>
        </row>
        <row r="19">
          <cell r="A19" t="str">
            <v>117240</v>
          </cell>
          <cell r="B19" t="str">
            <v>25粤能源EB</v>
          </cell>
          <cell r="C19" t="str">
            <v>2026-08-13</v>
          </cell>
          <cell r="D19" t="str">
            <v>深交所</v>
          </cell>
          <cell r="E19">
            <v>112.2117</v>
          </cell>
          <cell r="F19">
            <v>14.114</v>
          </cell>
          <cell r="G19">
            <v>98.0977</v>
          </cell>
          <cell r="H19">
            <v>98.0893</v>
          </cell>
        </row>
        <row r="20">
          <cell r="A20" t="str">
            <v>117241</v>
          </cell>
          <cell r="B20" t="str">
            <v>25新华都EB01</v>
          </cell>
          <cell r="C20" t="str">
            <v>2026-08-13</v>
          </cell>
          <cell r="D20" t="str">
            <v>深交所</v>
          </cell>
          <cell r="E20">
            <v>104.8935</v>
          </cell>
          <cell r="F20">
            <v>2.4814</v>
          </cell>
          <cell r="G20">
            <v>102.4121</v>
          </cell>
          <cell r="H20">
            <v>102.331</v>
          </cell>
        </row>
        <row r="21">
          <cell r="A21" t="str">
            <v>117242</v>
          </cell>
          <cell r="B21" t="str">
            <v>25成大E1</v>
          </cell>
          <cell r="C21" t="str">
            <v>2026-08-13</v>
          </cell>
          <cell r="D21" t="str">
            <v>深交所</v>
          </cell>
          <cell r="E21">
            <v>112.7979</v>
          </cell>
          <cell r="F21">
            <v>11.1111</v>
          </cell>
          <cell r="G21">
            <v>101.6868</v>
          </cell>
          <cell r="H21">
            <v>101.679</v>
          </cell>
        </row>
        <row r="22">
          <cell r="A22" t="str">
            <v>117243</v>
          </cell>
          <cell r="B22" t="str">
            <v>25众兴EB02</v>
          </cell>
          <cell r="C22" t="str">
            <v>2026-08-13</v>
          </cell>
          <cell r="D22" t="str">
            <v>深交所</v>
          </cell>
          <cell r="E22">
            <v>115.6125</v>
          </cell>
          <cell r="F22">
            <v>13.2798</v>
          </cell>
          <cell r="G22">
            <v>102.3327</v>
          </cell>
          <cell r="H22">
            <v>101.9724</v>
          </cell>
        </row>
        <row r="23">
          <cell r="A23" t="str">
            <v>117244</v>
          </cell>
          <cell r="B23" t="str">
            <v>25顺控KEB2</v>
          </cell>
          <cell r="C23" t="str">
            <v>2026-08-13</v>
          </cell>
          <cell r="D23" t="str">
            <v>深交所</v>
          </cell>
          <cell r="E23">
            <v>109.2545</v>
          </cell>
          <cell r="F23">
            <v>10.0446</v>
          </cell>
          <cell r="G23">
            <v>99.2099</v>
          </cell>
          <cell r="H23">
            <v>99.2027</v>
          </cell>
        </row>
        <row r="24">
          <cell r="A24" t="str">
            <v>117245</v>
          </cell>
          <cell r="B24" t="str">
            <v>25华强E3</v>
          </cell>
          <cell r="C24" t="str">
            <v>2026-08-13</v>
          </cell>
          <cell r="D24" t="str">
            <v>深交所</v>
          </cell>
          <cell r="E24">
            <v>107.0406</v>
          </cell>
          <cell r="F24">
            <v>9.3961</v>
          </cell>
          <cell r="G24">
            <v>97.6445</v>
          </cell>
          <cell r="H24">
            <v>97.6379</v>
          </cell>
        </row>
        <row r="25">
          <cell r="A25" t="str">
            <v>117246</v>
          </cell>
          <cell r="B25" t="str">
            <v>25盛虹EB</v>
          </cell>
          <cell r="C25" t="str">
            <v>2026-08-13</v>
          </cell>
          <cell r="D25" t="str">
            <v>深交所</v>
          </cell>
          <cell r="E25">
            <v>111.3085</v>
          </cell>
          <cell r="F25">
            <v>10.3274</v>
          </cell>
          <cell r="G25">
            <v>100.9811</v>
          </cell>
          <cell r="H25">
            <v>100.9167</v>
          </cell>
        </row>
        <row r="26">
          <cell r="A26" t="str">
            <v>117247</v>
          </cell>
          <cell r="B26" t="str">
            <v>25成大E2</v>
          </cell>
          <cell r="C26" t="str">
            <v>2026-08-13</v>
          </cell>
          <cell r="D26" t="str">
            <v>深交所</v>
          </cell>
          <cell r="E26">
            <v>115.3807</v>
          </cell>
          <cell r="F26">
            <v>14.182</v>
          </cell>
          <cell r="G26">
            <v>101.1987</v>
          </cell>
          <cell r="H26">
            <v>101.1925</v>
          </cell>
        </row>
        <row r="27">
          <cell r="A27" t="str">
            <v>117248</v>
          </cell>
          <cell r="B27" t="str">
            <v>26盈峰EB</v>
          </cell>
          <cell r="C27" t="str">
            <v>2026-08-13</v>
          </cell>
          <cell r="D27" t="str">
            <v>深交所</v>
          </cell>
          <cell r="E27">
            <v>112.3901</v>
          </cell>
          <cell r="F27">
            <v>13.7703</v>
          </cell>
          <cell r="G27">
            <v>98.6198</v>
          </cell>
          <cell r="H27">
            <v>98.614</v>
          </cell>
        </row>
        <row r="28">
          <cell r="A28" t="str">
            <v>117249</v>
          </cell>
          <cell r="B28" t="str">
            <v>26希望KEB1</v>
          </cell>
          <cell r="C28" t="str">
            <v>2026-08-13</v>
          </cell>
          <cell r="D28" t="str">
            <v>深交所</v>
          </cell>
          <cell r="E28">
            <v>101.2308</v>
          </cell>
          <cell r="F28">
            <v>8.1777</v>
          </cell>
          <cell r="G28">
            <v>93.0531</v>
          </cell>
          <cell r="H28">
            <v>92.9972</v>
          </cell>
        </row>
        <row r="29">
          <cell r="A29" t="str">
            <v>117250</v>
          </cell>
          <cell r="B29" t="str">
            <v>26国泰E1</v>
          </cell>
          <cell r="C29" t="str">
            <v>2026-08-13</v>
          </cell>
          <cell r="D29" t="str">
            <v>深交所</v>
          </cell>
          <cell r="E29">
            <v>115.9589</v>
          </cell>
          <cell r="F29">
            <v>19.9101</v>
          </cell>
          <cell r="G29">
            <v>96.0488</v>
          </cell>
          <cell r="H29">
            <v>96.0432</v>
          </cell>
        </row>
        <row r="30">
          <cell r="A30" t="str">
            <v>117251</v>
          </cell>
          <cell r="B30" t="str">
            <v>26顺控KEB1</v>
          </cell>
          <cell r="C30" t="str">
            <v>2026-08-13</v>
          </cell>
          <cell r="D30" t="str">
            <v>深交所</v>
          </cell>
          <cell r="E30">
            <v>106.0747</v>
          </cell>
          <cell r="F30">
            <v>7.1791</v>
          </cell>
          <cell r="G30">
            <v>98.8956</v>
          </cell>
          <cell r="H30">
            <v>98.8902</v>
          </cell>
        </row>
        <row r="31">
          <cell r="A31" t="str">
            <v>117252</v>
          </cell>
          <cell r="B31" t="str">
            <v>26九洲KEB1</v>
          </cell>
          <cell r="C31" t="str">
            <v>2026-08-13</v>
          </cell>
          <cell r="D31" t="str">
            <v>深交所</v>
          </cell>
          <cell r="E31">
            <v>104.3831</v>
          </cell>
          <cell r="F31">
            <v>5.6436</v>
          </cell>
          <cell r="G31">
            <v>98.7395</v>
          </cell>
          <cell r="H31">
            <v>98.735</v>
          </cell>
        </row>
        <row r="32">
          <cell r="A32" t="str">
            <v>117253</v>
          </cell>
          <cell r="B32" t="str">
            <v>26华邦EB</v>
          </cell>
          <cell r="C32" t="str">
            <v>2026-08-13</v>
          </cell>
          <cell r="D32" t="str">
            <v>深交所</v>
          </cell>
          <cell r="E32">
            <v>110.1693</v>
          </cell>
          <cell r="F32">
            <v>13.4385</v>
          </cell>
          <cell r="G32">
            <v>96.7308</v>
          </cell>
          <cell r="H32">
            <v>96.7269</v>
          </cell>
        </row>
        <row r="33">
          <cell r="A33" t="str">
            <v>117254</v>
          </cell>
          <cell r="B33" t="str">
            <v>26粤能源KEB</v>
          </cell>
          <cell r="C33" t="str">
            <v>2026-08-13</v>
          </cell>
          <cell r="D33" t="str">
            <v>深交所</v>
          </cell>
          <cell r="E33">
            <v>101.7141</v>
          </cell>
          <cell r="F33">
            <v>9.9135</v>
          </cell>
          <cell r="G33">
            <v>91.8006</v>
          </cell>
          <cell r="H33">
            <v>91.7996</v>
          </cell>
        </row>
        <row r="34">
          <cell r="A34" t="str">
            <v>117255</v>
          </cell>
          <cell r="B34" t="str">
            <v>26粤能源EB</v>
          </cell>
          <cell r="C34" t="str">
            <v>2026-08-13</v>
          </cell>
          <cell r="D34" t="str">
            <v>深交所</v>
          </cell>
          <cell r="E34">
            <v>99.9063</v>
          </cell>
          <cell r="F34">
            <v>4.5629</v>
          </cell>
          <cell r="G34">
            <v>95.3434</v>
          </cell>
          <cell r="H34">
            <v>95.3424</v>
          </cell>
        </row>
        <row r="35">
          <cell r="A35" t="str">
            <v>118500</v>
          </cell>
          <cell r="B35" t="str">
            <v>思瑞定转</v>
          </cell>
          <cell r="C35" t="str">
            <v>2026-08-13</v>
          </cell>
          <cell r="D35" t="str">
            <v>上交所</v>
          </cell>
          <cell r="E35">
            <v>183.3808</v>
          </cell>
          <cell r="F35">
            <v>87.0295</v>
          </cell>
          <cell r="G35">
            <v>96.3513</v>
          </cell>
          <cell r="H35">
            <v>96.3433</v>
          </cell>
        </row>
        <row r="36">
          <cell r="A36" t="str">
            <v>118501</v>
          </cell>
          <cell r="B36" t="str">
            <v>华海定转</v>
          </cell>
          <cell r="C36" t="str">
            <v>2026-08-13</v>
          </cell>
          <cell r="D36" t="str">
            <v>上交所</v>
          </cell>
          <cell r="E36">
            <v>199.424</v>
          </cell>
          <cell r="F36">
            <v>107.1387</v>
          </cell>
          <cell r="G36">
            <v>92.2853</v>
          </cell>
          <cell r="H36">
            <v>92.2774</v>
          </cell>
        </row>
        <row r="37">
          <cell r="A37" t="str">
            <v>124025</v>
          </cell>
          <cell r="B37" t="str">
            <v>富乐定转</v>
          </cell>
          <cell r="C37" t="str">
            <v>2026-08-13</v>
          </cell>
          <cell r="D37" t="str">
            <v>深交所</v>
          </cell>
          <cell r="E37">
            <v>220.5248</v>
          </cell>
          <cell r="F37">
            <v>127.3026</v>
          </cell>
          <cell r="G37">
            <v>93.2222</v>
          </cell>
          <cell r="H37">
            <v>93.2212</v>
          </cell>
        </row>
        <row r="38">
          <cell r="A38" t="str">
            <v>132024</v>
          </cell>
          <cell r="B38" t="str">
            <v>26江铜EB</v>
          </cell>
          <cell r="C38" t="str">
            <v>2026-08-13</v>
          </cell>
          <cell r="D38" t="str">
            <v>上交所</v>
          </cell>
          <cell r="E38">
            <v>136.1295</v>
          </cell>
          <cell r="F38">
            <v>39.3104</v>
          </cell>
          <cell r="G38">
            <v>96.8191</v>
          </cell>
          <cell r="H38">
            <v>96.8156</v>
          </cell>
        </row>
        <row r="39">
          <cell r="A39" t="str">
            <v>132026</v>
          </cell>
          <cell r="B39" t="str">
            <v>G三峡EB2</v>
          </cell>
          <cell r="C39" t="str">
            <v>2026-08-13</v>
          </cell>
          <cell r="D39" t="str">
            <v>上交所</v>
          </cell>
          <cell r="E39">
            <v>136.9423</v>
          </cell>
          <cell r="F39">
            <v>30.0752</v>
          </cell>
          <cell r="G39">
            <v>106.8671</v>
          </cell>
          <cell r="H39">
            <v>106.8468</v>
          </cell>
        </row>
        <row r="40">
          <cell r="A40" t="str">
            <v>137116</v>
          </cell>
          <cell r="B40" t="str">
            <v>20三一EB</v>
          </cell>
          <cell r="C40" t="str">
            <v>2026-08-13</v>
          </cell>
          <cell r="D40" t="str">
            <v>上交所</v>
          </cell>
          <cell r="E40">
            <v>102.8345</v>
          </cell>
          <cell r="F40">
            <v>0</v>
          </cell>
          <cell r="G40">
            <v>102.8345</v>
          </cell>
          <cell r="H40">
            <v>101.4619</v>
          </cell>
        </row>
        <row r="41">
          <cell r="A41" t="str">
            <v>137139</v>
          </cell>
          <cell r="B41" t="str">
            <v>22YN01EB</v>
          </cell>
          <cell r="C41" t="str">
            <v>2026-08-13</v>
          </cell>
          <cell r="D41" t="str">
            <v>上交所</v>
          </cell>
          <cell r="E41">
            <v>102.9537</v>
          </cell>
          <cell r="F41">
            <v>0</v>
          </cell>
          <cell r="G41">
            <v>102.9537</v>
          </cell>
          <cell r="H41">
            <v>101.6605</v>
          </cell>
        </row>
        <row r="42">
          <cell r="A42" t="str">
            <v>137148</v>
          </cell>
          <cell r="B42" t="str">
            <v>22YN02EB</v>
          </cell>
          <cell r="C42" t="str">
            <v>2026-08-13</v>
          </cell>
          <cell r="D42" t="str">
            <v>上交所</v>
          </cell>
          <cell r="E42">
            <v>102.8214</v>
          </cell>
          <cell r="F42">
            <v>0</v>
          </cell>
          <cell r="G42">
            <v>102.8214</v>
          </cell>
          <cell r="H42">
            <v>101.9578</v>
          </cell>
        </row>
        <row r="43">
          <cell r="A43" t="str">
            <v>137170</v>
          </cell>
          <cell r="B43" t="str">
            <v>23YN01EB</v>
          </cell>
          <cell r="C43" t="str">
            <v>2026-08-13</v>
          </cell>
          <cell r="D43" t="str">
            <v>上交所</v>
          </cell>
          <cell r="E43">
            <v>105.5641</v>
          </cell>
          <cell r="F43">
            <v>0.0013</v>
          </cell>
          <cell r="G43">
            <v>105.5628</v>
          </cell>
          <cell r="H43">
            <v>103.8428</v>
          </cell>
        </row>
        <row r="44">
          <cell r="A44" t="str">
            <v>137180</v>
          </cell>
          <cell r="B44" t="str">
            <v>23MYEB1</v>
          </cell>
          <cell r="C44" t="str">
            <v>2026-08-13</v>
          </cell>
          <cell r="D44" t="str">
            <v>上交所</v>
          </cell>
          <cell r="E44">
            <v>106.2519</v>
          </cell>
          <cell r="F44">
            <v>0</v>
          </cell>
          <cell r="G44">
            <v>106.2519</v>
          </cell>
          <cell r="H44">
            <v>104.5587</v>
          </cell>
        </row>
        <row r="45">
          <cell r="A45" t="str">
            <v>137181</v>
          </cell>
          <cell r="B45" t="str">
            <v>23杰瑞EB</v>
          </cell>
          <cell r="C45" t="str">
            <v>2026-08-13</v>
          </cell>
          <cell r="D45" t="str">
            <v>上交所</v>
          </cell>
          <cell r="E45">
            <v>100.0422</v>
          </cell>
          <cell r="F45">
            <v>0.2173</v>
          </cell>
          <cell r="G45">
            <v>99.8249</v>
          </cell>
          <cell r="H45">
            <v>99.8161</v>
          </cell>
        </row>
        <row r="46">
          <cell r="A46" t="str">
            <v>137182</v>
          </cell>
          <cell r="B46" t="str">
            <v>23全柴EB</v>
          </cell>
          <cell r="C46" t="str">
            <v>2026-08-13</v>
          </cell>
          <cell r="D46" t="str">
            <v>上交所</v>
          </cell>
          <cell r="E46">
            <v>106.6972</v>
          </cell>
          <cell r="F46">
            <v>0.3688</v>
          </cell>
          <cell r="G46">
            <v>106.3284</v>
          </cell>
          <cell r="H46">
            <v>105.6818</v>
          </cell>
        </row>
        <row r="47">
          <cell r="A47" t="str">
            <v>137183</v>
          </cell>
          <cell r="B47" t="str">
            <v>23潞安EB</v>
          </cell>
          <cell r="C47" t="str">
            <v>2026-08-13</v>
          </cell>
          <cell r="D47" t="str">
            <v>上交所</v>
          </cell>
          <cell r="E47">
            <v>104.2386</v>
          </cell>
          <cell r="F47">
            <v>0.2042</v>
          </cell>
          <cell r="G47">
            <v>104.0344</v>
          </cell>
          <cell r="H47">
            <v>104.0275</v>
          </cell>
        </row>
        <row r="48">
          <cell r="A48" t="str">
            <v>137184</v>
          </cell>
          <cell r="B48" t="str">
            <v>24MYEB1</v>
          </cell>
          <cell r="C48" t="str">
            <v>2026-08-13</v>
          </cell>
          <cell r="D48" t="str">
            <v>上交所</v>
          </cell>
          <cell r="E48">
            <v>105.9669</v>
          </cell>
          <cell r="F48">
            <v>0.1619</v>
          </cell>
          <cell r="G48">
            <v>105.805</v>
          </cell>
          <cell r="H48">
            <v>104.6653</v>
          </cell>
        </row>
        <row r="49">
          <cell r="A49" t="str">
            <v>137186</v>
          </cell>
          <cell r="B49" t="str">
            <v>24鲁商EB</v>
          </cell>
          <cell r="C49" t="str">
            <v>2026-08-13</v>
          </cell>
          <cell r="D49" t="str">
            <v>上交所</v>
          </cell>
          <cell r="E49">
            <v>110.1872</v>
          </cell>
          <cell r="F49">
            <v>0.6266</v>
          </cell>
          <cell r="G49">
            <v>109.5606</v>
          </cell>
          <cell r="H49">
            <v>108.7935</v>
          </cell>
        </row>
        <row r="50">
          <cell r="A50" t="str">
            <v>137187</v>
          </cell>
          <cell r="B50" t="str">
            <v>24广晟EB</v>
          </cell>
          <cell r="C50" t="str">
            <v>2026-08-13</v>
          </cell>
          <cell r="D50" t="str">
            <v>上交所</v>
          </cell>
          <cell r="E50">
            <v>110.1279</v>
          </cell>
          <cell r="F50">
            <v>6.8803</v>
          </cell>
          <cell r="G50">
            <v>103.2476</v>
          </cell>
          <cell r="H50">
            <v>103.2455</v>
          </cell>
        </row>
        <row r="51">
          <cell r="A51" t="str">
            <v>137188</v>
          </cell>
          <cell r="B51" t="str">
            <v>24穗港EB</v>
          </cell>
          <cell r="C51" t="str">
            <v>2026-08-13</v>
          </cell>
          <cell r="D51" t="str">
            <v>上交所</v>
          </cell>
          <cell r="E51">
            <v>106.2731</v>
          </cell>
          <cell r="F51">
            <v>2.99</v>
          </cell>
          <cell r="G51">
            <v>103.2831</v>
          </cell>
          <cell r="H51">
            <v>103.202</v>
          </cell>
        </row>
        <row r="52">
          <cell r="A52" t="str">
            <v>137192</v>
          </cell>
          <cell r="B52" t="str">
            <v>24蜀道EB</v>
          </cell>
          <cell r="C52" t="str">
            <v>2026-08-13</v>
          </cell>
          <cell r="D52" t="str">
            <v>上交所</v>
          </cell>
          <cell r="E52">
            <v>119.698</v>
          </cell>
          <cell r="F52">
            <v>18.9551</v>
          </cell>
          <cell r="G52">
            <v>100.7429</v>
          </cell>
          <cell r="H52">
            <v>100.7368</v>
          </cell>
        </row>
        <row r="53">
          <cell r="A53" t="str">
            <v>137193</v>
          </cell>
          <cell r="B53" t="str">
            <v>25浙报EB</v>
          </cell>
          <cell r="C53" t="str">
            <v>2026-08-13</v>
          </cell>
          <cell r="D53" t="str">
            <v>上交所</v>
          </cell>
          <cell r="E53">
            <v>111.5321</v>
          </cell>
          <cell r="F53">
            <v>11.2318</v>
          </cell>
          <cell r="G53">
            <v>100.3003</v>
          </cell>
          <cell r="H53">
            <v>100.297</v>
          </cell>
        </row>
        <row r="54">
          <cell r="A54" t="str">
            <v>137194</v>
          </cell>
          <cell r="B54" t="str">
            <v>25蜀道EB</v>
          </cell>
          <cell r="C54" t="str">
            <v>2026-08-13</v>
          </cell>
          <cell r="D54" t="str">
            <v>上交所</v>
          </cell>
          <cell r="E54">
            <v>110.9266</v>
          </cell>
          <cell r="F54">
            <v>10.7123</v>
          </cell>
          <cell r="G54">
            <v>100.2143</v>
          </cell>
          <cell r="H54">
            <v>100.2111</v>
          </cell>
        </row>
        <row r="55">
          <cell r="A55" t="str">
            <v>137195</v>
          </cell>
          <cell r="B55" t="str">
            <v>25康01EB</v>
          </cell>
          <cell r="C55" t="str">
            <v>2026-08-13</v>
          </cell>
          <cell r="D55" t="str">
            <v>上交所</v>
          </cell>
          <cell r="E55">
            <v>103.9124</v>
          </cell>
          <cell r="F55">
            <v>0.7205</v>
          </cell>
          <cell r="G55">
            <v>103.1919</v>
          </cell>
          <cell r="H55">
            <v>103.1229</v>
          </cell>
        </row>
        <row r="56">
          <cell r="A56" t="str">
            <v>137196</v>
          </cell>
          <cell r="B56" t="str">
            <v>25康02EB</v>
          </cell>
          <cell r="C56" t="str">
            <v>2026-08-13</v>
          </cell>
          <cell r="D56" t="str">
            <v>上交所</v>
          </cell>
          <cell r="E56">
            <v>103.9264</v>
          </cell>
          <cell r="F56">
            <v>0.7345</v>
          </cell>
          <cell r="G56">
            <v>103.1919</v>
          </cell>
          <cell r="H56">
            <v>103.1229</v>
          </cell>
        </row>
        <row r="57">
          <cell r="A57" t="str">
            <v>137197</v>
          </cell>
          <cell r="B57" t="str">
            <v>26福达EB</v>
          </cell>
          <cell r="C57" t="str">
            <v>2026-08-13</v>
          </cell>
          <cell r="D57" t="str">
            <v>上交所</v>
          </cell>
          <cell r="E57">
            <v>109.7189</v>
          </cell>
          <cell r="F57">
            <v>10.6508</v>
          </cell>
          <cell r="G57">
            <v>99.0681</v>
          </cell>
          <cell r="H57">
            <v>99.01</v>
          </cell>
        </row>
        <row r="58">
          <cell r="A58" t="str">
            <v>137198</v>
          </cell>
          <cell r="B58" t="str">
            <v>26SYKEB</v>
          </cell>
          <cell r="C58" t="str">
            <v>2026-08-13</v>
          </cell>
          <cell r="D58" t="str">
            <v>上交所</v>
          </cell>
          <cell r="E58">
            <v>120.1177</v>
          </cell>
          <cell r="F58">
            <v>24.1154</v>
          </cell>
          <cell r="G58">
            <v>96.0023</v>
          </cell>
          <cell r="H58">
            <v>95.997</v>
          </cell>
        </row>
        <row r="59">
          <cell r="A59" t="str">
            <v>137199</v>
          </cell>
          <cell r="B59" t="str">
            <v>晋交KEB</v>
          </cell>
          <cell r="C59" t="str">
            <v>2026-08-13</v>
          </cell>
          <cell r="D59" t="str">
            <v>上交所</v>
          </cell>
          <cell r="E59">
            <v>111.597</v>
          </cell>
          <cell r="F59">
            <v>14.3006</v>
          </cell>
          <cell r="G59">
            <v>97.2964</v>
          </cell>
          <cell r="H59">
            <v>97.291</v>
          </cell>
        </row>
        <row r="60">
          <cell r="A60" t="str">
            <v>137200</v>
          </cell>
          <cell r="B60" t="str">
            <v>26闽资EB</v>
          </cell>
          <cell r="C60" t="str">
            <v>2026-08-13</v>
          </cell>
          <cell r="D60" t="str">
            <v>上交所</v>
          </cell>
          <cell r="E60">
            <v>109.6154</v>
          </cell>
          <cell r="F60">
            <v>9.9206</v>
          </cell>
          <cell r="G60">
            <v>99.6948</v>
          </cell>
          <cell r="H60">
            <v>99.6919</v>
          </cell>
        </row>
        <row r="61">
          <cell r="A61" t="str">
            <v>137201</v>
          </cell>
          <cell r="B61" t="str">
            <v>凌云KEB</v>
          </cell>
          <cell r="C61" t="str">
            <v>2026-08-13</v>
          </cell>
          <cell r="D61" t="str">
            <v>上交所</v>
          </cell>
          <cell r="E61">
            <v>107.8428</v>
          </cell>
          <cell r="F61">
            <v>9.1148</v>
          </cell>
          <cell r="G61">
            <v>98.728</v>
          </cell>
          <cell r="H61">
            <v>98.7235</v>
          </cell>
        </row>
        <row r="62">
          <cell r="A62" t="str">
            <v>137202</v>
          </cell>
          <cell r="B62" t="str">
            <v>26GXKEB1</v>
          </cell>
          <cell r="C62" t="str">
            <v>2026-08-13</v>
          </cell>
          <cell r="D62" t="str">
            <v>上交所</v>
          </cell>
          <cell r="E62">
            <v>196.6065</v>
          </cell>
          <cell r="F62">
            <v>100.8403</v>
          </cell>
          <cell r="G62">
            <v>95.7662</v>
          </cell>
          <cell r="H62">
            <v>95.7624</v>
          </cell>
        </row>
        <row r="63">
          <cell r="A63" t="str">
            <v>137203</v>
          </cell>
          <cell r="B63" t="str">
            <v>26杭钢EB</v>
          </cell>
          <cell r="C63" t="str">
            <v>2026-08-13</v>
          </cell>
          <cell r="D63" t="str">
            <v>上交所</v>
          </cell>
          <cell r="E63">
            <v>108.7365</v>
          </cell>
          <cell r="F63">
            <v>12.9846</v>
          </cell>
          <cell r="G63">
            <v>95.7519</v>
          </cell>
          <cell r="H63">
            <v>95.7482</v>
          </cell>
        </row>
        <row r="64">
          <cell r="A64" t="str">
            <v>137204</v>
          </cell>
          <cell r="B64" t="str">
            <v>26蜀道EB</v>
          </cell>
          <cell r="C64" t="str">
            <v>2026-08-13</v>
          </cell>
          <cell r="D64" t="str">
            <v>上交所</v>
          </cell>
          <cell r="E64">
            <v>105.4968</v>
          </cell>
          <cell r="F64">
            <v>8.9594</v>
          </cell>
          <cell r="G64">
            <v>96.5374</v>
          </cell>
          <cell r="H64">
            <v>96.5343</v>
          </cell>
        </row>
        <row r="65">
          <cell r="A65" t="str">
            <v>137206</v>
          </cell>
          <cell r="B65" t="str">
            <v>26南K1EB</v>
          </cell>
          <cell r="C65" t="str">
            <v>2026-08-13</v>
          </cell>
          <cell r="D65" t="str">
            <v>上交所</v>
          </cell>
          <cell r="E65">
            <v>107.2112</v>
          </cell>
          <cell r="F65">
            <v>11.208</v>
          </cell>
          <cell r="G65">
            <v>96.0032</v>
          </cell>
          <cell r="H65">
            <v>95.9722</v>
          </cell>
        </row>
        <row r="66">
          <cell r="A66" t="str">
            <v>137207</v>
          </cell>
          <cell r="B66" t="str">
            <v>26南K2EB</v>
          </cell>
          <cell r="C66" t="str">
            <v>2026-08-13</v>
          </cell>
          <cell r="D66" t="str">
            <v>上交所</v>
          </cell>
          <cell r="E66">
            <v>100.8106</v>
          </cell>
          <cell r="F66">
            <v>0.136</v>
          </cell>
          <cell r="G66">
            <v>100.6746</v>
          </cell>
          <cell r="H66">
            <v>100.1793</v>
          </cell>
        </row>
        <row r="67">
          <cell r="A67" t="str">
            <v>137208</v>
          </cell>
          <cell r="B67" t="str">
            <v>26AQKEB</v>
          </cell>
          <cell r="C67" t="str">
            <v>2026-08-13</v>
          </cell>
          <cell r="D67" t="str">
            <v>上交所</v>
          </cell>
          <cell r="E67">
            <v>103.5899</v>
          </cell>
          <cell r="F67">
            <v>8.4557</v>
          </cell>
          <cell r="G67">
            <v>95.1342</v>
          </cell>
          <cell r="H67">
            <v>95.1341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tabSelected="1" topLeftCell="J1" workbookViewId="0">
      <selection activeCell="F10" sqref="F10"/>
    </sheetView>
  </sheetViews>
  <sheetFormatPr baseColWidth="8" defaultColWidth="8.72727272727273" defaultRowHeight="14"/>
  <cols>
    <col width="12.6363636363636" customWidth="1" style="1" min="1" max="2"/>
    <col width="14.6363636363636" customWidth="1" style="1" min="3" max="3"/>
    <col width="12.6363636363636" customWidth="1" style="1" min="4" max="4"/>
    <col width="14.6363636363636" customWidth="1" style="1" min="5" max="6"/>
    <col width="12.6363636363636" customWidth="1" style="1" min="7" max="7"/>
    <col width="14.6363636363636" customWidth="1" style="1" min="8" max="8"/>
    <col width="18.6363636363636" customWidth="1" style="1" min="9" max="9"/>
    <col width="12.6363636363636" customWidth="1" style="1" min="10" max="11"/>
    <col width="14.6363636363636" customWidth="1" style="1" min="12" max="12"/>
    <col width="16.6363636363636" customWidth="1" style="1" min="13" max="13"/>
    <col width="12.6363636363636" customWidth="1" style="1" min="14" max="14"/>
    <col width="16.6363636363636" customWidth="1" style="1" min="15" max="15"/>
  </cols>
  <sheetData>
    <row r="1">
      <c r="A1" s="2" t="inlineStr">
        <is>
          <t>日期</t>
        </is>
      </c>
      <c r="B1" s="2" t="inlineStr">
        <is>
          <t>证券代码</t>
        </is>
      </c>
      <c r="C1" s="2" t="inlineStr">
        <is>
          <t>证券名称</t>
        </is>
      </c>
      <c r="D1" s="2" t="inlineStr">
        <is>
          <t>正股代码</t>
        </is>
      </c>
      <c r="E1" s="2" t="inlineStr">
        <is>
          <t>正股简称</t>
        </is>
      </c>
      <c r="F1" s="2" t="inlineStr">
        <is>
          <t>成交金额（万元）</t>
        </is>
      </c>
      <c r="G1" s="2" t="inlineStr">
        <is>
          <t>成交量(张)</t>
        </is>
      </c>
      <c r="H1" s="2" t="inlineStr">
        <is>
          <t>成交均价（净价）</t>
        </is>
      </c>
      <c r="I1" s="2" t="inlineStr">
        <is>
          <t>票面利率(当期参考%)</t>
        </is>
      </c>
      <c r="J1" s="2" t="inlineStr">
        <is>
          <t>补偿利率（%）</t>
        </is>
      </c>
      <c r="K1" s="2" t="inlineStr">
        <is>
          <t>转股价格(元)</t>
        </is>
      </c>
      <c r="L1" s="2" t="inlineStr">
        <is>
          <t>正股收盘价(元)</t>
        </is>
      </c>
      <c r="M1" s="2" t="inlineStr">
        <is>
          <t>中证含权估值(元)</t>
        </is>
      </c>
      <c r="N1" s="2" t="inlineStr">
        <is>
          <t>期权价值(元)</t>
        </is>
      </c>
      <c r="O1" s="2" t="inlineStr">
        <is>
          <t>中证不含权估值(元)</t>
        </is>
      </c>
    </row>
    <row r="2">
      <c r="A2" s="0" t="str">
        <f>TEXT([1]sheet1!$B$3,"yyyy-mm-dd")</f>
        <v>2026-08-17</v>
      </c>
      <c r="B2" s="0" t="str">
        <f>IF(LEN(TRIM([2]可交债!A2))=6,TRIM([2]可交债!A2)&amp;".SZ",TRIM([2]可交债!A2))</f>
        <v>137116.SH</v>
      </c>
      <c r="C2" s="0" t="str">
        <f>IFERROR(VLOOKUP(LEFT($B2,6)&amp;"*",[2]可交债!$A:$H,2,FALSE),"")</f>
        <v>20三一EB</v>
      </c>
      <c r="D2" s="0" t="str">
        <f>IFERROR(VLOOKUP(LEFT($B2,6)&amp;"*",[2]可交债!$A:$H,3,FALSE),"")</f>
        <v>600031.SH</v>
      </c>
      <c r="E2" s="0" t="str">
        <f>IFERROR(VLOOKUP(LEFT($B2,6)&amp;"*",[2]可交债!$A:$H,4,FALSE),"")</f>
        <v>三一重工</v>
      </c>
      <c r="F2" s="7">
        <f>SUMPRODUCT((LEFT(TRIM('[3]现券交易信息（逐笔）'!$B$2:$B$500),6)=LEFT($B2,6))*(IFERROR(--SUBSTITUTE('[3]现券交易信息（逐笔）'!$G$2:$G$500,",",""),0)))+SUMIF([1]sheet1!$D$2:$D$500,LEFT($B2,6)&amp;"*",[1]sheet1!$M$2:$M$500)</f>
        <v>0</v>
      </c>
      <c r="G2" s="7">
        <f>SUMPRODUCT((LEFT(TRIM('[3]现券交易信息（逐笔）'!$B$2:$B$500),6)=LEFT($B2,6))*(IFERROR(--SUBSTITUTE('[3]现券交易信息（逐笔）'!$F$2:$F$500,",",""),0)*100))+SUMIF([1]sheet1!$D$2:$D$500,LEFT($B2,6)&amp;"*",[1]sheet1!$L$2:$L$500)*100</f>
        <v>0</v>
      </c>
      <c r="H2" s="7" t="str">
        <f>IF(G2=0,"",ROUND(F2*10000/G2,4))</f>
        <v/>
      </c>
      <c r="I2" s="8">
        <f>IFERROR(VLOOKUP(LEFT($B2,6)&amp;"*",[2]可交债!$A:$H,5,FALSE),"")</f>
        <v>1.5</v>
      </c>
      <c r="J2" s="8">
        <f>IFERROR(VLOOKUP(LEFT($B2,6)&amp;"*",[2]可交债!$A:$H,6,FALSE),"")</f>
        <v>3</v>
      </c>
      <c r="K2" s="8">
        <f>IFERROR(VLOOKUP(LEFT($B2,6)&amp;"*",[2]可交债!$A:$H,7,FALSE),"")</f>
        <v>25.719999999999999</v>
      </c>
      <c r="L2" s="8">
        <f>IFERROR(VLOOKUP(LEFT($B2,6)&amp;"*",[2]可交债!$A:$H,8,FALSE),"")</f>
        <v>18.699999999999999</v>
      </c>
      <c r="M2" s="8">
        <f>IFERROR(VLOOKUP(LEFT($B2,6),[4]中证可交换债券估值!$A:$H,5,FALSE),"")</f>
        <v>102.8553</v>
      </c>
      <c r="N2" s="8">
        <f>IFERROR(VLOOKUP(LEFT($B2,6),[4]中证可交换债券估值!$A:$H,6,FALSE),"")</f>
        <v>0.0002</v>
      </c>
      <c r="O2" s="5">
        <f>IFERROR(VLOOKUP(LEFT($B2,6),[4]中证可交换债券估值!$A:$H,7,FALSE),"")</f>
        <v>102.855099999999993</v>
      </c>
    </row>
    <row r="3">
      <c r="A3" s="0" t="str">
        <f>TEXT([1]sheet1!$B$3,"yyyy-mm-dd")</f>
        <v>2026-08-17</v>
      </c>
      <c r="B3" s="0" t="str">
        <f>IF(LEN(TRIM([2]可交债!A3))=6,TRIM([2]可交债!A3)&amp;".SZ",TRIM([2]可交债!A3))</f>
        <v>137139.SH</v>
      </c>
      <c r="C3" s="0" t="str">
        <f>IFERROR(VLOOKUP(LEFT($B3,6)&amp;"*",[2]可交债!$A:$H,2,FALSE),"")</f>
        <v>22YN01EB</v>
      </c>
      <c r="D3" s="0" t="str">
        <f>IFERROR(VLOOKUP(LEFT($B3,6)&amp;"*",[2]可交债!$A:$H,3,FALSE),"")</f>
        <v>600900.SH</v>
      </c>
      <c r="E3" s="0" t="str">
        <f>IFERROR(VLOOKUP(LEFT($B3,6)&amp;"*",[2]可交债!$A:$H,4,FALSE),"")</f>
        <v>长江电力</v>
      </c>
      <c r="F3" s="7">
        <f>SUMPRODUCT((LEFT(TRIM('[3]现券交易信息（逐笔）'!$B$2:$B$500),6)=LEFT($B3,6))*(IFERROR(--SUBSTITUTE('[3]现券交易信息（逐笔）'!$G$2:$G$500,",",""),0)))+SUMIF([1]sheet1!$D$2:$D$500,LEFT($B3,6)&amp;"*",[1]sheet1!$M$2:$M$500)</f>
        <v>0</v>
      </c>
      <c r="G3" s="7">
        <f>SUMPRODUCT((LEFT(TRIM('[3]现券交易信息（逐笔）'!$B$2:$B$500),6)=LEFT($B3,6))*(IFERROR(--SUBSTITUTE('[3]现券交易信息（逐笔）'!$F$2:$F$500,",",""),0)*100))+SUMIF([1]sheet1!$D$2:$D$500,LEFT($B3,6)&amp;"*",[1]sheet1!$L$2:$L$500)*100</f>
        <v>0</v>
      </c>
      <c r="H3" s="7" t="str">
        <f>IF(G3=0,"",ROUND(F3*10000/G3,4))</f>
        <v/>
      </c>
      <c r="I3" s="8">
        <f>IFERROR(VLOOKUP(LEFT($B3,6)&amp;"*",[2]可交债!$A:$H,5,FALSE),"")</f>
        <v>4</v>
      </c>
      <c r="J3" s="8">
        <f>IFERROR(VLOOKUP(LEFT($B3,6)&amp;"*",[2]可交债!$A:$H,6,FALSE),"")</f>
        <v>0</v>
      </c>
      <c r="K3" s="8">
        <f>IFERROR(VLOOKUP(LEFT($B3,6)&amp;"*",[2]可交债!$A:$H,7,FALSE),"")</f>
        <v>53.200000000000003</v>
      </c>
      <c r="L3" s="8">
        <f>IFERROR(VLOOKUP(LEFT($B3,6)&amp;"*",[2]可交债!$A:$H,8,FALSE),"")</f>
        <v>27.960000000000001</v>
      </c>
      <c r="M3" s="8">
        <f>IFERROR(VLOOKUP(LEFT($B3,6),[4]中证可交换债券估值!$A:$H,5,FALSE),"")</f>
        <v>102.968000000000004</v>
      </c>
      <c r="N3" s="8">
        <f>IFERROR(VLOOKUP(LEFT($B3,6),[4]中证可交换债券估值!$A:$H,6,FALSE),"")</f>
        <v>0</v>
      </c>
      <c r="O3" s="5">
        <f>IFERROR(VLOOKUP(LEFT($B3,6),[4]中证可交换债券估值!$A:$H,7,FALSE),"")</f>
        <v>102.968000000000004</v>
      </c>
    </row>
    <row r="4">
      <c r="A4" s="0" t="str">
        <f>TEXT([1]sheet1!$B$3,"yyyy-mm-dd")</f>
        <v>2026-08-17</v>
      </c>
      <c r="B4" s="0" t="str">
        <f>IF(LEN(TRIM([2]可交债!A4))=6,TRIM([2]可交债!A4)&amp;".SZ",TRIM([2]可交债!A4))</f>
        <v>137148.SH</v>
      </c>
      <c r="C4" s="0" t="str">
        <f>IFERROR(VLOOKUP(LEFT($B4,6)&amp;"*",[2]可交债!$A:$H,2,FALSE),"")</f>
        <v>22YN02EB</v>
      </c>
      <c r="D4" s="0" t="str">
        <f>IFERROR(VLOOKUP(LEFT($B4,6)&amp;"*",[2]可交债!$A:$H,3,FALSE),"")</f>
        <v>600900.SH</v>
      </c>
      <c r="E4" s="0" t="str">
        <f>IFERROR(VLOOKUP(LEFT($B4,6)&amp;"*",[2]可交债!$A:$H,4,FALSE),"")</f>
        <v>长江电力</v>
      </c>
      <c r="F4" s="7">
        <f>SUMPRODUCT((LEFT(TRIM('[3]现券交易信息（逐笔）'!$B$2:$B$500),6)=LEFT($B4,6))*(IFERROR(--SUBSTITUTE('[3]现券交易信息（逐笔）'!$G$2:$G$500,",",""),0)))+SUMIF([1]sheet1!$D$2:$D$500,LEFT($B4,6)&amp;"*",[1]sheet1!$M$2:$M$500)</f>
        <v>0</v>
      </c>
      <c r="G4" s="7">
        <f>SUMPRODUCT((LEFT(TRIM('[3]现券交易信息（逐笔）'!$B$2:$B$500),6)=LEFT($B4,6))*(IFERROR(--SUBSTITUTE('[3]现券交易信息（逐笔）'!$F$2:$F$500,",",""),0)*100))+SUMIF([1]sheet1!$D$2:$D$500,LEFT($B4,6)&amp;"*",[1]sheet1!$L$2:$L$500)*100</f>
        <v>0</v>
      </c>
      <c r="H4" s="7" t="str">
        <f>IF(G4=0,"",ROUND(F4*10000/G4,4))</f>
        <v/>
      </c>
      <c r="I4" s="8">
        <f>IFERROR(VLOOKUP(LEFT($B4,6)&amp;"*",[2]可交债!$A:$H,5,FALSE),"")</f>
        <v>3.99</v>
      </c>
      <c r="J4" s="8">
        <f>IFERROR(VLOOKUP(LEFT($B4,6)&amp;"*",[2]可交债!$A:$H,6,FALSE),"")</f>
        <v>0</v>
      </c>
      <c r="K4" s="8">
        <f>IFERROR(VLOOKUP(LEFT($B4,6)&amp;"*",[2]可交债!$A:$H,7,FALSE),"")</f>
        <v>52.850000000000001</v>
      </c>
      <c r="L4" s="8">
        <f>IFERROR(VLOOKUP(LEFT($B4,6)&amp;"*",[2]可交债!$A:$H,8,FALSE),"")</f>
        <v>27.960000000000001</v>
      </c>
      <c r="M4" s="8">
        <f>IFERROR(VLOOKUP(LEFT($B4,6),[4]中证可交换债券估值!$A:$H,5,FALSE),"")</f>
        <v>102.836699999999993</v>
      </c>
      <c r="N4" s="8">
        <f>IFERROR(VLOOKUP(LEFT($B4,6),[4]中证可交换债券估值!$A:$H,6,FALSE),"")</f>
        <v>0</v>
      </c>
      <c r="O4" s="5">
        <f>IFERROR(VLOOKUP(LEFT($B4,6),[4]中证可交换债券估值!$A:$H,7,FALSE),"")</f>
        <v>102.836699999999993</v>
      </c>
    </row>
    <row r="5">
      <c r="A5" s="0" t="str">
        <f>TEXT([1]sheet1!$B$3,"yyyy-mm-dd")</f>
        <v>2026-08-17</v>
      </c>
      <c r="B5" s="0" t="str">
        <f>IF(LEN(TRIM([2]可交债!A5))=6,TRIM([2]可交债!A5)&amp;".SZ",TRIM([2]可交债!A5))</f>
        <v>137180.SH</v>
      </c>
      <c r="C5" s="0" t="str">
        <f>IFERROR(VLOOKUP(LEFT($B5,6)&amp;"*",[2]可交债!$A:$H,2,FALSE),"")</f>
        <v>23MYEB1</v>
      </c>
      <c r="D5" s="0" t="str">
        <f>IFERROR(VLOOKUP(LEFT($B5,6)&amp;"*",[2]可交债!$A:$H,3,FALSE),"")</f>
        <v>601615.SH</v>
      </c>
      <c r="E5" s="0" t="str">
        <f>IFERROR(VLOOKUP(LEFT($B5,6)&amp;"*",[2]可交债!$A:$H,4,FALSE),"")</f>
        <v>明阳智能</v>
      </c>
      <c r="F5" s="7">
        <f>SUMPRODUCT((LEFT(TRIM('[3]现券交易信息（逐笔）'!$B$2:$B$500),6)=LEFT($B5,6))*(IFERROR(--SUBSTITUTE('[3]现券交易信息（逐笔）'!$G$2:$G$500,",",""),0)))+SUMIF([1]sheet1!$D$2:$D$500,LEFT($B5,6)&amp;"*",[1]sheet1!$M$2:$M$500)</f>
        <v>0</v>
      </c>
      <c r="G5" s="7">
        <f>SUMPRODUCT((LEFT(TRIM('[3]现券交易信息（逐笔）'!$B$2:$B$500),6)=LEFT($B5,6))*(IFERROR(--SUBSTITUTE('[3]现券交易信息（逐笔）'!$F$2:$F$500,",",""),0)*100))+SUMIF([1]sheet1!$D$2:$D$500,LEFT($B5,6)&amp;"*",[1]sheet1!$L$2:$L$500)*100</f>
        <v>0</v>
      </c>
      <c r="H5" s="7" t="str">
        <f>IF(G5=0,"",ROUND(F5*10000/G5,4))</f>
        <v/>
      </c>
      <c r="I5" s="8">
        <f>IFERROR(VLOOKUP(LEFT($B5,6)&amp;"*",[2]可交债!$A:$H,5,FALSE),"")</f>
        <v>2</v>
      </c>
      <c r="J5" s="8">
        <f>IFERROR(VLOOKUP(LEFT($B5,6)&amp;"*",[2]可交债!$A:$H,6,FALSE),"")</f>
        <v>4.5</v>
      </c>
      <c r="K5" s="8">
        <f>IFERROR(VLOOKUP(LEFT($B5,6)&amp;"*",[2]可交债!$A:$H,7,FALSE),"")</f>
        <v>24.239999999999998</v>
      </c>
      <c r="L5" s="8">
        <f>IFERROR(VLOOKUP(LEFT($B5,6)&amp;"*",[2]可交债!$A:$H,8,FALSE),"")</f>
        <v>11.640000000000001</v>
      </c>
      <c r="M5" s="8">
        <f>IFERROR(VLOOKUP(LEFT($B5,6),[4]中证可交换债券估值!$A:$H,5,FALSE),"")</f>
        <v>106.269800000000004</v>
      </c>
      <c r="N5" s="8">
        <f>IFERROR(VLOOKUP(LEFT($B5,6),[4]中证可交换债券估值!$A:$H,6,FALSE),"")</f>
        <v>0</v>
      </c>
      <c r="O5" s="5">
        <f>IFERROR(VLOOKUP(LEFT($B5,6),[4]中证可交换债券估值!$A:$H,7,FALSE),"")</f>
        <v>106.269800000000004</v>
      </c>
    </row>
    <row r="6">
      <c r="A6" s="0" t="str">
        <f>TEXT([1]sheet1!$B$3,"yyyy-mm-dd")</f>
        <v>2026-08-17</v>
      </c>
      <c r="B6" s="0" t="str">
        <f>IF(LEN(TRIM([2]可交债!A6))=6,TRIM([2]可交债!A6)&amp;".SZ",TRIM([2]可交债!A6))</f>
        <v>137170.SH</v>
      </c>
      <c r="C6" s="0" t="str">
        <f>IFERROR(VLOOKUP(LEFT($B6,6)&amp;"*",[2]可交债!$A:$H,2,FALSE),"")</f>
        <v>23YN01EB</v>
      </c>
      <c r="D6" s="0" t="str">
        <f>IFERROR(VLOOKUP(LEFT($B6,6)&amp;"*",[2]可交债!$A:$H,3,FALSE),"")</f>
        <v>600900.SH</v>
      </c>
      <c r="E6" s="0" t="str">
        <f>IFERROR(VLOOKUP(LEFT($B6,6)&amp;"*",[2]可交债!$A:$H,4,FALSE),"")</f>
        <v>长江电力</v>
      </c>
      <c r="F6" s="7">
        <f>SUMPRODUCT((LEFT(TRIM('[3]现券交易信息（逐笔）'!$B$2:$B$500),6)=LEFT($B6,6))*(IFERROR(--SUBSTITUTE('[3]现券交易信息（逐笔）'!$G$2:$G$500,",",""),0)))+SUMIF([1]sheet1!$D$2:$D$500,LEFT($B6,6)&amp;"*",[1]sheet1!$M$2:$M$500)</f>
        <v>0</v>
      </c>
      <c r="G6" s="7">
        <f>SUMPRODUCT((LEFT(TRIM('[3]现券交易信息（逐笔）'!$B$2:$B$500),6)=LEFT($B6,6))*(IFERROR(--SUBSTITUTE('[3]现券交易信息（逐笔）'!$F$2:$F$500,",",""),0)*100))+SUMIF([1]sheet1!$D$2:$D$500,LEFT($B6,6)&amp;"*",[1]sheet1!$L$2:$L$500)*100</f>
        <v>0</v>
      </c>
      <c r="H6" s="7" t="str">
        <f>IF(G6=0,"",ROUND(F6*10000/G6,4))</f>
        <v/>
      </c>
      <c r="I6" s="8">
        <f>IFERROR(VLOOKUP(LEFT($B6,6)&amp;"*",[2]可交债!$A:$H,5,FALSE),"")</f>
        <v>4.3</v>
      </c>
      <c r="J6" s="8">
        <f>IFERROR(VLOOKUP(LEFT($B6,6)&amp;"*",[2]可交债!$A:$H,6,FALSE),"")</f>
        <v>0</v>
      </c>
      <c r="K6" s="8">
        <f>IFERROR(VLOOKUP(LEFT($B6,6)&amp;"*",[2]可交债!$A:$H,7,FALSE),"")</f>
        <v>48.950000000000003</v>
      </c>
      <c r="L6" s="8">
        <f>IFERROR(VLOOKUP(LEFT($B6,6)&amp;"*",[2]可交债!$A:$H,8,FALSE),"")</f>
        <v>27.960000000000001</v>
      </c>
      <c r="M6" s="8">
        <f>IFERROR(VLOOKUP(LEFT($B6,6),[4]中证可交换债券估值!$A:$H,5,FALSE),"")</f>
        <v>105.594700000000003</v>
      </c>
      <c r="N6" s="8">
        <f>IFERROR(VLOOKUP(LEFT($B6,6),[4]中证可交换债券估值!$A:$H,6,FALSE),"")</f>
        <v>0.0016</v>
      </c>
      <c r="O6" s="5">
        <f>IFERROR(VLOOKUP(LEFT($B6,6),[4]中证可交换债券估值!$A:$H,7,FALSE),"")</f>
        <v>105.593100000000007</v>
      </c>
    </row>
    <row r="7">
      <c r="A7" s="0" t="str">
        <f>TEXT([1]sheet1!$B$3,"yyyy-mm-dd")</f>
        <v>2026-08-17</v>
      </c>
      <c r="B7" s="0" t="str">
        <f>IF(LEN(TRIM([2]可交债!A7))=6,TRIM([2]可交债!A7)&amp;".SZ",TRIM([2]可交债!A7))</f>
        <v>117216.SZ</v>
      </c>
      <c r="C7" s="0" t="str">
        <f>IFERROR(VLOOKUP(LEFT($B7,6)&amp;"*",[2]可交债!$A:$H,2,FALSE),"")</f>
        <v>23航发EB</v>
      </c>
      <c r="D7" s="0" t="str">
        <f>IFERROR(VLOOKUP(LEFT($B7,6)&amp;"*",[2]可交债!$A:$H,3,FALSE),"")</f>
        <v>000738.SZ</v>
      </c>
      <c r="E7" s="0" t="str">
        <f>IFERROR(VLOOKUP(LEFT($B7,6)&amp;"*",[2]可交债!$A:$H,4,FALSE),"")</f>
        <v>航发控制</v>
      </c>
      <c r="F7" s="7">
        <f>SUMPRODUCT((LEFT(TRIM('[3]现券交易信息（逐笔）'!$B$2:$B$500),6)=LEFT($B7,6))*(IFERROR(--SUBSTITUTE('[3]现券交易信息（逐笔）'!$G$2:$G$500,",",""),0)))+SUMIF([1]sheet1!$D$2:$D$500,LEFT($B7,6)&amp;"*",[1]sheet1!$M$2:$M$500)</f>
        <v>0</v>
      </c>
      <c r="G7" s="7">
        <f>SUMPRODUCT((LEFT(TRIM('[3]现券交易信息（逐笔）'!$B$2:$B$500),6)=LEFT($B7,6))*(IFERROR(--SUBSTITUTE('[3]现券交易信息（逐笔）'!$F$2:$F$500,",",""),0)*100))+SUMIF([1]sheet1!$D$2:$D$500,LEFT($B7,6)&amp;"*",[1]sheet1!$L$2:$L$500)*100</f>
        <v>0</v>
      </c>
      <c r="H7" s="7" t="str">
        <f>IF(G7=0,"",ROUND(F7*10000/G7,4))</f>
        <v/>
      </c>
      <c r="I7" s="8">
        <f>IFERROR(VLOOKUP(LEFT($B7,6)&amp;"*",[2]可交债!$A:$H,5,FALSE),"")</f>
        <v>0.5</v>
      </c>
      <c r="J7" s="8">
        <f>IFERROR(VLOOKUP(LEFT($B7,6)&amp;"*",[2]可交债!$A:$H,6,FALSE),"")</f>
        <v>6</v>
      </c>
      <c r="K7" s="8">
        <f>IFERROR(VLOOKUP(LEFT($B7,6)&amp;"*",[2]可交债!$A:$H,7,FALSE),"")</f>
        <v>26.579999999999998</v>
      </c>
      <c r="L7" s="8">
        <f>IFERROR(VLOOKUP(LEFT($B7,6)&amp;"*",[2]可交债!$A:$H,8,FALSE),"")</f>
        <v>18.710000000000001</v>
      </c>
      <c r="M7" s="8">
        <f>IFERROR(VLOOKUP(LEFT($B7,6),[4]中证可交换债券估值!$A:$H,5,FALSE),"")</f>
        <v>106.260400000000004</v>
      </c>
      <c r="N7" s="8">
        <f>IFERROR(VLOOKUP(LEFT($B7,6),[4]中证可交换债券估值!$A:$H,6,FALSE),"")</f>
        <v>0.2205</v>
      </c>
      <c r="O7" s="5">
        <f>IFERROR(VLOOKUP(LEFT($B7,6),[4]中证可交换债券估值!$A:$H,7,FALSE),"")</f>
        <v>106.039900000000003</v>
      </c>
    </row>
    <row r="8">
      <c r="A8" s="0" t="str">
        <f>TEXT([1]sheet1!$B$3,"yyyy-mm-dd")</f>
        <v>2026-08-17</v>
      </c>
      <c r="B8" s="0" t="str">
        <f>IF(LEN(TRIM([2]可交债!A8))=6,TRIM([2]可交债!A8)&amp;".SZ",TRIM([2]可交债!A8))</f>
        <v>117210.SZ</v>
      </c>
      <c r="C8" s="0" t="str">
        <f>IFERROR(VLOOKUP(LEFT($B8,6)&amp;"*",[2]可交债!$A:$H,2,FALSE),"")</f>
        <v>23建安E1</v>
      </c>
      <c r="D8" s="0" t="str">
        <f>IFERROR(VLOOKUP(LEFT($B8,6)&amp;"*",[2]可交债!$A:$H,3,FALSE),"")</f>
        <v>000728.SZ</v>
      </c>
      <c r="E8" s="0" t="str">
        <f>IFERROR(VLOOKUP(LEFT($B8,6)&amp;"*",[2]可交债!$A:$H,4,FALSE),"")</f>
        <v>国元证券</v>
      </c>
      <c r="F8" s="7">
        <f>SUMPRODUCT((LEFT(TRIM('[3]现券交易信息（逐笔）'!$B$2:$B$500),6)=LEFT($B8,6))*(IFERROR(--SUBSTITUTE('[3]现券交易信息（逐笔）'!$G$2:$G$500,",",""),0)))+SUMIF([1]sheet1!$D$2:$D$500,LEFT($B8,6)&amp;"*",[1]sheet1!$M$2:$M$500)</f>
        <v>0</v>
      </c>
      <c r="G8" s="7">
        <f>SUMPRODUCT((LEFT(TRIM('[3]现券交易信息（逐笔）'!$B$2:$B$500),6)=LEFT($B8,6))*(IFERROR(--SUBSTITUTE('[3]现券交易信息（逐笔）'!$F$2:$F$500,",",""),0)*100))+SUMIF([1]sheet1!$D$2:$D$500,LEFT($B8,6)&amp;"*",[1]sheet1!$L$2:$L$500)*100</f>
        <v>0</v>
      </c>
      <c r="H8" s="7" t="str">
        <f>IF(G8=0,"",ROUND(F8*10000/G8,4))</f>
        <v/>
      </c>
      <c r="I8" s="8">
        <f>IFERROR(VLOOKUP(LEFT($B8,6)&amp;"*",[2]可交债!$A:$H,5,FALSE),"")</f>
        <v>1.5</v>
      </c>
      <c r="J8" s="8">
        <f>IFERROR(VLOOKUP(LEFT($B8,6)&amp;"*",[2]可交债!$A:$H,6,FALSE),"")</f>
        <v>6.5</v>
      </c>
      <c r="K8" s="8">
        <f>IFERROR(VLOOKUP(LEFT($B8,6)&amp;"*",[2]可交债!$A:$H,7,FALSE),"")</f>
        <v>9.56</v>
      </c>
      <c r="L8" s="8">
        <f>IFERROR(VLOOKUP(LEFT($B8,6)&amp;"*",[2]可交债!$A:$H,8,FALSE),"")</f>
        <v>7.16</v>
      </c>
      <c r="M8" s="8">
        <f>IFERROR(VLOOKUP(LEFT($B8,6),[4]中证可交换债券估值!$A:$H,5,FALSE),"")</f>
        <v>107.938299999999998</v>
      </c>
      <c r="N8" s="8">
        <f>IFERROR(VLOOKUP(LEFT($B8,6),[4]中证可交换债券估值!$A:$H,6,FALSE),"")</f>
        <v>0</v>
      </c>
      <c r="O8" s="5">
        <f>IFERROR(VLOOKUP(LEFT($B8,6),[4]中证可交换债券估值!$A:$H,7,FALSE),"")</f>
        <v>107.938299999999998</v>
      </c>
    </row>
    <row r="9">
      <c r="A9" s="0" t="str">
        <f>TEXT([1]sheet1!$B$3,"yyyy-mm-dd")</f>
        <v>2026-08-17</v>
      </c>
      <c r="B9" s="0" t="str">
        <f>IF(LEN(TRIM([2]可交债!A9))=6,TRIM([2]可交债!A9)&amp;".SZ",TRIM([2]可交债!A9))</f>
        <v>137181.SH</v>
      </c>
      <c r="C9" s="0" t="str">
        <f>IFERROR(VLOOKUP(LEFT($B9,6)&amp;"*",[2]可交债!$A:$H,2,FALSE),"")</f>
        <v>23杰瑞EB</v>
      </c>
      <c r="D9" s="0" t="str">
        <f>IFERROR(VLOOKUP(LEFT($B9,6)&amp;"*",[2]可交债!$A:$H,3,FALSE),"")</f>
        <v>600764.SH</v>
      </c>
      <c r="E9" s="0" t="str">
        <f>IFERROR(VLOOKUP(LEFT($B9,6)&amp;"*",[2]可交债!$A:$H,4,FALSE),"")</f>
        <v>中国海防</v>
      </c>
      <c r="F9" s="7">
        <f>SUMPRODUCT((LEFT(TRIM('[3]现券交易信息（逐笔）'!$B$2:$B$500),6)=LEFT($B9,6))*(IFERROR(--SUBSTITUTE('[3]现券交易信息（逐笔）'!$G$2:$G$500,",",""),0)))+SUMIF([1]sheet1!$D$2:$D$500,LEFT($B9,6)&amp;"*",[1]sheet1!$M$2:$M$500)</f>
        <v>0</v>
      </c>
      <c r="G9" s="7">
        <f>SUMPRODUCT((LEFT(TRIM('[3]现券交易信息（逐笔）'!$B$2:$B$500),6)=LEFT($B9,6))*(IFERROR(--SUBSTITUTE('[3]现券交易信息（逐笔）'!$F$2:$F$500,",",""),0)*100))+SUMIF([1]sheet1!$D$2:$D$500,LEFT($B9,6)&amp;"*",[1]sheet1!$L$2:$L$500)*100</f>
        <v>0</v>
      </c>
      <c r="H9" s="7" t="str">
        <f>IF(G9=0,"",ROUND(F9*10000/G9,4))</f>
        <v/>
      </c>
      <c r="I9" s="8">
        <f>IFERROR(VLOOKUP(LEFT($B9,6)&amp;"*",[2]可交债!$A:$H,5,FALSE),"")</f>
        <v>0.01</v>
      </c>
      <c r="J9" s="8">
        <f>IFERROR(VLOOKUP(LEFT($B9,6)&amp;"*",[2]可交债!$A:$H,6,FALSE),"")</f>
        <v>0</v>
      </c>
      <c r="K9" s="8">
        <f>IFERROR(VLOOKUP(LEFT($B9,6)&amp;"*",[2]可交债!$A:$H,7,FALSE),"")</f>
        <v>27.670000000000002</v>
      </c>
      <c r="L9" s="8">
        <f>IFERROR(VLOOKUP(LEFT($B9,6)&amp;"*",[2]可交债!$A:$H,8,FALSE),"")</f>
        <v>18.239999999999998</v>
      </c>
      <c r="M9" s="8">
        <f>IFERROR(VLOOKUP(LEFT($B9,6),[4]中证可交换债券估值!$A:$H,5,FALSE),"")</f>
        <v>100.058700000000002</v>
      </c>
      <c r="N9" s="8">
        <f>IFERROR(VLOOKUP(LEFT($B9,6),[4]中证可交换债券估值!$A:$H,6,FALSE),"")</f>
        <v>0.2175</v>
      </c>
      <c r="O9" s="5">
        <f>IFERROR(VLOOKUP(LEFT($B9,6),[4]中证可交换债券估值!$A:$H,7,FALSE),"")</f>
        <v>99.841200000000001</v>
      </c>
    </row>
    <row r="10">
      <c r="A10" s="0" t="str">
        <f>TEXT([1]sheet1!$B$3,"yyyy-mm-dd")</f>
        <v>2026-08-17</v>
      </c>
      <c r="B10" s="0" t="str">
        <f>IF(LEN(TRIM([2]可交债!A10))=6,TRIM([2]可交债!A10)&amp;".SZ",TRIM([2]可交债!A10))</f>
        <v>117212.SZ</v>
      </c>
      <c r="C10" s="0" t="str">
        <f>IFERROR(VLOOKUP(LEFT($B10,6)&amp;"*",[2]可交债!$A:$H,2,FALSE),"")</f>
        <v>23京源EB</v>
      </c>
      <c r="D10" s="0" t="str">
        <f>IFERROR(VLOOKUP(LEFT($B10,6)&amp;"*",[2]可交债!$A:$H,3,FALSE),"")</f>
        <v>000821.SZ</v>
      </c>
      <c r="E10" s="0" t="str">
        <f>IFERROR(VLOOKUP(LEFT($B10,6)&amp;"*",[2]可交债!$A:$H,4,FALSE),"")</f>
        <v>ST京机</v>
      </c>
      <c r="F10" s="7">
        <f>SUMPRODUCT((LEFT(TRIM('[3]现券交易信息（逐笔）'!$B$2:$B$500),6)=LEFT($B10,6))*(IFERROR(--SUBSTITUTE('[3]现券交易信息（逐笔）'!$G$2:$G$500,",",""),0)))+SUMIF([1]sheet1!$D$2:$D$500,LEFT($B10,6)&amp;"*",[1]sheet1!$M$2:$M$500)</f>
        <v>0</v>
      </c>
      <c r="G10" s="7">
        <f>SUMPRODUCT((LEFT(TRIM('[3]现券交易信息（逐笔）'!$B$2:$B$500),6)=LEFT($B10,6))*(IFERROR(--SUBSTITUTE('[3]现券交易信息（逐笔）'!$F$2:$F$500,",",""),0)*100))+SUMIF([1]sheet1!$D$2:$D$500,LEFT($B10,6)&amp;"*",[1]sheet1!$L$2:$L$500)*100</f>
        <v>0</v>
      </c>
      <c r="H10" s="7" t="str">
        <f>IF(G10=0,"",ROUND(F10*10000/G10,4))</f>
        <v/>
      </c>
      <c r="I10" s="8">
        <f>IFERROR(VLOOKUP(LEFT($B10,6)&amp;"*",[2]可交债!$A:$H,5,FALSE),"")</f>
        <v>0.5</v>
      </c>
      <c r="J10" s="8">
        <f>IFERROR(VLOOKUP(LEFT($B10,6)&amp;"*",[2]可交债!$A:$H,6,FALSE),"")</f>
        <v>4.5</v>
      </c>
      <c r="K10" s="8">
        <f>IFERROR(VLOOKUP(LEFT($B10,6)&amp;"*",[2]可交债!$A:$H,7,FALSE),"")</f>
        <v>14.470000000000001</v>
      </c>
      <c r="L10" s="8">
        <f>IFERROR(VLOOKUP(LEFT($B10,6)&amp;"*",[2]可交债!$A:$H,8,FALSE),"")</f>
        <v>7.17</v>
      </c>
      <c r="M10" s="8">
        <f>IFERROR(VLOOKUP(LEFT($B10,6),[4]中证可交换债券估值!$A:$H,5,FALSE),"")</f>
        <v>105.342100000000002</v>
      </c>
      <c r="N10" s="8">
        <f>IFERROR(VLOOKUP(LEFT($B10,6),[4]中证可交换债券估值!$A:$H,6,FALSE),"")</f>
        <v>0.1767</v>
      </c>
      <c r="O10" s="5">
        <f>IFERROR(VLOOKUP(LEFT($B10,6),[4]中证可交换债券估值!$A:$H,7,FALSE),"")</f>
        <v>105.165400000000005</v>
      </c>
    </row>
    <row r="11">
      <c r="A11" s="0" t="str">
        <f>TEXT([1]sheet1!$B$3,"yyyy-mm-dd")</f>
        <v>2026-08-17</v>
      </c>
      <c r="B11" s="0" t="str">
        <f>IF(LEN(TRIM([2]可交债!A11))=6,TRIM([2]可交债!A11)&amp;".SZ",TRIM([2]可交债!A11))</f>
        <v>137183.SH</v>
      </c>
      <c r="C11" s="0" t="str">
        <f>IFERROR(VLOOKUP(LEFT($B11,6)&amp;"*",[2]可交债!$A:$H,2,FALSE),"")</f>
        <v>23潞安EB</v>
      </c>
      <c r="D11" s="0" t="str">
        <f>IFERROR(VLOOKUP(LEFT($B11,6)&amp;"*",[2]可交债!$A:$H,3,FALSE),"")</f>
        <v>601699.SH</v>
      </c>
      <c r="E11" s="0" t="str">
        <f>IFERROR(VLOOKUP(LEFT($B11,6)&amp;"*",[2]可交债!$A:$H,4,FALSE),"")</f>
        <v>潞安环能</v>
      </c>
      <c r="F11" s="7">
        <f>SUMPRODUCT((LEFT(TRIM('[3]现券交易信息（逐笔）'!$B$2:$B$500),6)=LEFT($B11,6))*(IFERROR(--SUBSTITUTE('[3]现券交易信息（逐笔）'!$G$2:$G$500,",",""),0)))+SUMIF([1]sheet1!$D$2:$D$500,LEFT($B11,6)&amp;"*",[1]sheet1!$M$2:$M$500)</f>
        <v>0</v>
      </c>
      <c r="G11" s="7">
        <f>SUMPRODUCT((LEFT(TRIM('[3]现券交易信息（逐笔）'!$B$2:$B$500),6)=LEFT($B11,6))*(IFERROR(--SUBSTITUTE('[3]现券交易信息（逐笔）'!$F$2:$F$500,",",""),0)*100))+SUMIF([1]sheet1!$D$2:$D$500,LEFT($B11,6)&amp;"*",[1]sheet1!$L$2:$L$500)*100</f>
        <v>0</v>
      </c>
      <c r="H11" s="7" t="str">
        <f>IF(G11=0,"",ROUND(F11*10000/G11,4))</f>
        <v/>
      </c>
      <c r="I11" s="8">
        <f>IFERROR(VLOOKUP(LEFT($B11,6)&amp;"*",[2]可交债!$A:$H,5,FALSE),"")</f>
        <v>0.01</v>
      </c>
      <c r="J11" s="8">
        <f>IFERROR(VLOOKUP(LEFT($B11,6)&amp;"*",[2]可交债!$A:$H,6,FALSE),"")</f>
        <v>4.5</v>
      </c>
      <c r="K11" s="8">
        <f>IFERROR(VLOOKUP(LEFT($B11,6)&amp;"*",[2]可交债!$A:$H,7,FALSE),"")</f>
        <v>24.91</v>
      </c>
      <c r="L11" s="8">
        <f>IFERROR(VLOOKUP(LEFT($B11,6)&amp;"*",[2]可交债!$A:$H,8,FALSE),"")</f>
        <v>16.309999999999999</v>
      </c>
      <c r="M11" s="8">
        <f>IFERROR(VLOOKUP(LEFT($B11,6),[4]中证可交换债券估值!$A:$H,5,FALSE),"")</f>
        <v>104.296400000000006</v>
      </c>
      <c r="N11" s="8">
        <f>IFERROR(VLOOKUP(LEFT($B11,6),[4]中证可交换债券估值!$A:$H,6,FALSE),"")</f>
        <v>0.2468</v>
      </c>
      <c r="O11" s="5">
        <f>IFERROR(VLOOKUP(LEFT($B11,6),[4]中证可交换债券估值!$A:$H,7,FALSE),"")</f>
        <v>104.049599999999998</v>
      </c>
    </row>
    <row r="12">
      <c r="A12" s="0" t="str">
        <f>TEXT([1]sheet1!$B$3,"yyyy-mm-dd")</f>
        <v>2026-08-17</v>
      </c>
      <c r="B12" s="0" t="str">
        <f>IF(LEN(TRIM([2]可交债!A12))=6,TRIM([2]可交债!A12)&amp;".SZ",TRIM([2]可交债!A12))</f>
        <v>137182.SH</v>
      </c>
      <c r="C12" s="0" t="str">
        <f>IFERROR(VLOOKUP(LEFT($B12,6)&amp;"*",[2]可交债!$A:$H,2,FALSE),"")</f>
        <v>23全柴EB</v>
      </c>
      <c r="D12" s="0" t="str">
        <f>IFERROR(VLOOKUP(LEFT($B12,6)&amp;"*",[2]可交债!$A:$H,3,FALSE),"")</f>
        <v>600218.SH</v>
      </c>
      <c r="E12" s="0" t="str">
        <f>IFERROR(VLOOKUP(LEFT($B12,6)&amp;"*",[2]可交债!$A:$H,4,FALSE),"")</f>
        <v>全柴动力</v>
      </c>
      <c r="F12" s="7">
        <f>SUMPRODUCT((LEFT(TRIM('[3]现券交易信息（逐笔）'!$B$2:$B$500),6)=LEFT($B12,6))*(IFERROR(--SUBSTITUTE('[3]现券交易信息（逐笔）'!$G$2:$G$500,",",""),0)))+SUMIF([1]sheet1!$D$2:$D$500,LEFT($B12,6)&amp;"*",[1]sheet1!$M$2:$M$500)</f>
        <v>0</v>
      </c>
      <c r="G12" s="7">
        <f>SUMPRODUCT((LEFT(TRIM('[3]现券交易信息（逐笔）'!$B$2:$B$500),6)=LEFT($B12,6))*(IFERROR(--SUBSTITUTE('[3]现券交易信息（逐笔）'!$F$2:$F$500,",",""),0)*100))+SUMIF([1]sheet1!$D$2:$D$500,LEFT($B12,6)&amp;"*",[1]sheet1!$L$2:$L$500)*100</f>
        <v>0</v>
      </c>
      <c r="H12" s="7" t="str">
        <f>IF(G12=0,"",ROUND(F12*10000/G12,4))</f>
        <v/>
      </c>
      <c r="I12" s="8">
        <f>IFERROR(VLOOKUP(LEFT($B12,6)&amp;"*",[2]可交债!$A:$H,5,FALSE),"")</f>
        <v>1</v>
      </c>
      <c r="J12" s="8">
        <f>IFERROR(VLOOKUP(LEFT($B12,6)&amp;"*",[2]可交债!$A:$H,6,FALSE),"")</f>
        <v>6</v>
      </c>
      <c r="K12" s="8">
        <f>IFERROR(VLOOKUP(LEFT($B12,6)&amp;"*",[2]可交债!$A:$H,7,FALSE),"")</f>
        <v>10.74</v>
      </c>
      <c r="L12" s="8">
        <f>IFERROR(VLOOKUP(LEFT($B12,6)&amp;"*",[2]可交债!$A:$H,8,FALSE),"")</f>
        <v>7.7</v>
      </c>
      <c r="M12" s="8">
        <f>IFERROR(VLOOKUP(LEFT($B12,6),[4]中证可交换债券估值!$A:$H,5,FALSE),"")</f>
        <v>106.694199999999995</v>
      </c>
      <c r="N12" s="8">
        <f>IFERROR(VLOOKUP(LEFT($B12,6),[4]中证可交换债券估值!$A:$H,6,FALSE),"")</f>
        <v>0.3445</v>
      </c>
      <c r="O12" s="5">
        <f>IFERROR(VLOOKUP(LEFT($B12,6),[4]中证可交换债券估值!$A:$H,7,FALSE),"")</f>
        <v>106.349699999999999</v>
      </c>
    </row>
    <row r="13">
      <c r="A13" s="0" t="str">
        <f>TEXT([1]sheet1!$B$3,"yyyy-mm-dd")</f>
        <v>2026-08-17</v>
      </c>
      <c r="B13" s="0" t="str">
        <f>IF(LEN(TRIM([2]可交债!A13))=6,TRIM([2]可交债!A13)&amp;".SZ",TRIM([2]可交债!A13))</f>
        <v>137184.SH</v>
      </c>
      <c r="C13" s="0" t="str">
        <f>IFERROR(VLOOKUP(LEFT($B13,6)&amp;"*",[2]可交债!$A:$H,2,FALSE),"")</f>
        <v>24MYEB1</v>
      </c>
      <c r="D13" s="0" t="str">
        <f>IFERROR(VLOOKUP(LEFT($B13,6)&amp;"*",[2]可交债!$A:$H,3,FALSE),"")</f>
        <v>601615.SH</v>
      </c>
      <c r="E13" s="0" t="str">
        <f>IFERROR(VLOOKUP(LEFT($B13,6)&amp;"*",[2]可交债!$A:$H,4,FALSE),"")</f>
        <v>明阳智能</v>
      </c>
      <c r="F13" s="7">
        <f>SUMPRODUCT((LEFT(TRIM('[3]现券交易信息（逐笔）'!$B$2:$B$500),6)=LEFT($B13,6))*(IFERROR(--SUBSTITUTE('[3]现券交易信息（逐笔）'!$G$2:$G$500,",",""),0)))+SUMIF([1]sheet1!$D$2:$D$500,LEFT($B13,6)&amp;"*",[1]sheet1!$M$2:$M$500)</f>
        <v>0</v>
      </c>
      <c r="G13" s="7">
        <f>SUMPRODUCT((LEFT(TRIM('[3]现券交易信息（逐笔）'!$B$2:$B$500),6)=LEFT($B13,6))*(IFERROR(--SUBSTITUTE('[3]现券交易信息（逐笔）'!$F$2:$F$500,",",""),0)*100))+SUMIF([1]sheet1!$D$2:$D$500,LEFT($B13,6)&amp;"*",[1]sheet1!$L$2:$L$500)*100</f>
        <v>0</v>
      </c>
      <c r="H13" s="7" t="str">
        <f>IF(G13=0,"",ROUND(F13*10000/G13,4))</f>
        <v/>
      </c>
      <c r="I13" s="8">
        <f>IFERROR(VLOOKUP(LEFT($B13,6)&amp;"*",[2]可交债!$A:$H,5,FALSE),"")</f>
        <v>2</v>
      </c>
      <c r="J13" s="8">
        <f>IFERROR(VLOOKUP(LEFT($B13,6)&amp;"*",[2]可交债!$A:$H,6,FALSE),"")</f>
        <v>4.5</v>
      </c>
      <c r="K13" s="8">
        <f>IFERROR(VLOOKUP(LEFT($B13,6)&amp;"*",[2]可交债!$A:$H,7,FALSE),"")</f>
        <v>24.239999999999998</v>
      </c>
      <c r="L13" s="8">
        <f>IFERROR(VLOOKUP(LEFT($B13,6)&amp;"*",[2]可交债!$A:$H,8,FALSE),"")</f>
        <v>11.640000000000001</v>
      </c>
      <c r="M13" s="8">
        <f>IFERROR(VLOOKUP(LEFT($B13,6),[4]中证可交换债券估值!$A:$H,5,FALSE),"")</f>
        <v>105.919300000000007</v>
      </c>
      <c r="N13" s="8">
        <f>IFERROR(VLOOKUP(LEFT($B13,6),[4]中证可交换债券估值!$A:$H,6,FALSE),"")</f>
        <v>0.0993</v>
      </c>
      <c r="O13" s="5">
        <f>IFERROR(VLOOKUP(LEFT($B13,6),[4]中证可交换债券估值!$A:$H,7,FALSE),"")</f>
        <v>105.819999999999993</v>
      </c>
    </row>
    <row r="14">
      <c r="A14" s="0" t="str">
        <f>TEXT([1]sheet1!$B$3,"yyyy-mm-dd")</f>
        <v>2026-08-17</v>
      </c>
      <c r="B14" s="0" t="str">
        <f>IF(LEN(TRIM([2]可交债!A14))=6,TRIM([2]可交债!A14)&amp;".SZ",TRIM([2]可交债!A14))</f>
        <v>117219.SZ</v>
      </c>
      <c r="C14" s="0" t="str">
        <f>IFERROR(VLOOKUP(LEFT($B14,6)&amp;"*",[2]可交债!$A:$H,2,FALSE),"")</f>
        <v>24船材EB</v>
      </c>
      <c r="D14" s="0" t="str">
        <f>IFERROR(VLOOKUP(LEFT($B14,6)&amp;"*",[2]可交债!$A:$H,3,FALSE),"")</f>
        <v>300003.SZ</v>
      </c>
      <c r="E14" s="0" t="str">
        <f>IFERROR(VLOOKUP(LEFT($B14,6)&amp;"*",[2]可交债!$A:$H,4,FALSE),"")</f>
        <v>乐普医疗</v>
      </c>
      <c r="F14" s="7">
        <f>SUMPRODUCT((LEFT(TRIM('[3]现券交易信息（逐笔）'!$B$2:$B$500),6)=LEFT($B14,6))*(IFERROR(--SUBSTITUTE('[3]现券交易信息（逐笔）'!$G$2:$G$500,",",""),0)))+SUMIF([1]sheet1!$D$2:$D$500,LEFT($B14,6)&amp;"*",[1]sheet1!$M$2:$M$500)</f>
        <v>0</v>
      </c>
      <c r="G14" s="7">
        <f>SUMPRODUCT((LEFT(TRIM('[3]现券交易信息（逐笔）'!$B$2:$B$500),6)=LEFT($B14,6))*(IFERROR(--SUBSTITUTE('[3]现券交易信息（逐笔）'!$F$2:$F$500,",",""),0)*100))+SUMIF([1]sheet1!$D$2:$D$500,LEFT($B14,6)&amp;"*",[1]sheet1!$L$2:$L$500)*100</f>
        <v>0</v>
      </c>
      <c r="H14" s="7" t="str">
        <f>IF(G14=0,"",ROUND(F14*10000/G14,4))</f>
        <v/>
      </c>
      <c r="I14" s="8">
        <f>IFERROR(VLOOKUP(LEFT($B14,6)&amp;"*",[2]可交债!$A:$H,5,FALSE),"")</f>
        <v>0.01</v>
      </c>
      <c r="J14" s="8">
        <f>IFERROR(VLOOKUP(LEFT($B14,6)&amp;"*",[2]可交债!$A:$H,6,FALSE),"")</f>
        <v>3</v>
      </c>
      <c r="K14" s="8">
        <f>IFERROR(VLOOKUP(LEFT($B14,6)&amp;"*",[2]可交债!$A:$H,7,FALSE),"")</f>
        <v>21.07</v>
      </c>
      <c r="L14" s="8">
        <f>IFERROR(VLOOKUP(LEFT($B14,6)&amp;"*",[2]可交债!$A:$H,8,FALSE),"")</f>
        <v>12.720000000000001</v>
      </c>
      <c r="M14" s="8">
        <f>IFERROR(VLOOKUP(LEFT($B14,6),[4]中证可交换债券估值!$A:$H,5,FALSE),"")</f>
        <v>102.613200000000006</v>
      </c>
      <c r="N14" s="8">
        <f>IFERROR(VLOOKUP(LEFT($B14,6),[4]中证可交换债券估值!$A:$H,6,FALSE),"")</f>
        <v>0.2268</v>
      </c>
      <c r="O14" s="5">
        <f>IFERROR(VLOOKUP(LEFT($B14,6),[4]中证可交换债券估值!$A:$H,7,FALSE),"")</f>
        <v>102.386399999999995</v>
      </c>
    </row>
    <row r="15">
      <c r="A15" s="0" t="str">
        <f>TEXT([1]sheet1!$B$3,"yyyy-mm-dd")</f>
        <v>2026-08-17</v>
      </c>
      <c r="B15" s="0" t="str">
        <f>IF(LEN(TRIM([2]可交债!A15))=6,TRIM([2]可交债!A15)&amp;".SZ",TRIM([2]可交债!A15))</f>
        <v>137187.SH</v>
      </c>
      <c r="C15" s="0" t="str">
        <f>IFERROR(VLOOKUP(LEFT($B15,6)&amp;"*",[2]可交债!$A:$H,2,FALSE),"")</f>
        <v>24广晟EB</v>
      </c>
      <c r="D15" s="0" t="str">
        <f>IFERROR(VLOOKUP(LEFT($B15,6)&amp;"*",[2]可交债!$A:$H,3,FALSE),"")</f>
        <v>601728.SH</v>
      </c>
      <c r="E15" s="0" t="str">
        <f>IFERROR(VLOOKUP(LEFT($B15,6)&amp;"*",[2]可交债!$A:$H,4,FALSE),"")</f>
        <v>中国电信</v>
      </c>
      <c r="F15" s="7">
        <f>SUMPRODUCT((LEFT(TRIM('[3]现券交易信息（逐笔）'!$B$2:$B$500),6)=LEFT($B15,6))*(IFERROR(--SUBSTITUTE('[3]现券交易信息（逐笔）'!$G$2:$G$500,",",""),0)))+SUMIF([1]sheet1!$D$2:$D$500,LEFT($B15,6)&amp;"*",[1]sheet1!$M$2:$M$500)</f>
        <v>0</v>
      </c>
      <c r="G15" s="7">
        <f>SUMPRODUCT((LEFT(TRIM('[3]现券交易信息（逐笔）'!$B$2:$B$500),6)=LEFT($B15,6))*(IFERROR(--SUBSTITUTE('[3]现券交易信息（逐笔）'!$F$2:$F$500,",",""),0)*100))+SUMIF([1]sheet1!$D$2:$D$500,LEFT($B15,6)&amp;"*",[1]sheet1!$L$2:$L$500)*100</f>
        <v>0</v>
      </c>
      <c r="H15" s="7" t="str">
        <f>IF(G15=0,"",ROUND(F15*10000/G15,4))</f>
        <v/>
      </c>
      <c r="I15" s="8">
        <f>IFERROR(VLOOKUP(LEFT($B15,6)&amp;"*",[2]可交债!$A:$H,5,FALSE),"")</f>
        <v>0.01</v>
      </c>
      <c r="J15" s="8">
        <f>IFERROR(VLOOKUP(LEFT($B15,6)&amp;"*",[2]可交债!$A:$H,6,FALSE),"")</f>
        <v>4.5</v>
      </c>
      <c r="K15" s="8">
        <f>IFERROR(VLOOKUP(LEFT($B15,6)&amp;"*",[2]可交债!$A:$H,7,FALSE),"")</f>
        <v>6.91</v>
      </c>
      <c r="L15" s="8">
        <f>IFERROR(VLOOKUP(LEFT($B15,6)&amp;"*",[2]可交债!$A:$H,8,FALSE),"")</f>
        <v>6.61</v>
      </c>
      <c r="M15" s="8">
        <f>IFERROR(VLOOKUP(LEFT($B15,6),[4]中证可交换债券估值!$A:$H,5,FALSE),"")</f>
        <v>111.5899</v>
      </c>
      <c r="N15" s="8">
        <f>IFERROR(VLOOKUP(LEFT($B15,6),[4]中证可交换债券估值!$A:$H,6,FALSE),"")</f>
        <v>8.325699999999999</v>
      </c>
      <c r="O15" s="5">
        <f>IFERROR(VLOOKUP(LEFT($B15,6),[4]中证可交换债券估值!$A:$H,7,FALSE),"")</f>
        <v>103.264200000000002</v>
      </c>
    </row>
    <row r="16">
      <c r="A16" s="0" t="str">
        <f>TEXT([1]sheet1!$B$3,"yyyy-mm-dd")</f>
        <v>2026-08-17</v>
      </c>
      <c r="B16" s="0" t="str">
        <f>IF(LEN(TRIM([2]可交债!A16))=6,TRIM([2]可交债!A16)&amp;".SZ",TRIM([2]可交债!A16))</f>
        <v>117222.SZ</v>
      </c>
      <c r="C16" s="0" t="str">
        <f>IFERROR(VLOOKUP(LEFT($B16,6)&amp;"*",[2]可交债!$A:$H,2,FALSE),"")</f>
        <v>24广州数字科技EB</v>
      </c>
      <c r="D16" s="0" t="str">
        <f>IFERROR(VLOOKUP(LEFT($B16,6)&amp;"*",[2]可交债!$A:$H,3,FALSE),"")</f>
        <v>002152.SZ</v>
      </c>
      <c r="E16" s="0" t="str">
        <f>IFERROR(VLOOKUP(LEFT($B16,6)&amp;"*",[2]可交债!$A:$H,4,FALSE),"")</f>
        <v>广电运通</v>
      </c>
      <c r="F16" s="7">
        <f>SUMPRODUCT((LEFT(TRIM('[3]现券交易信息（逐笔）'!$B$2:$B$500),6)=LEFT($B16,6))*(IFERROR(--SUBSTITUTE('[3]现券交易信息（逐笔）'!$G$2:$G$500,",",""),0)))+SUMIF([1]sheet1!$D$2:$D$500,LEFT($B16,6)&amp;"*",[1]sheet1!$M$2:$M$500)</f>
        <v>0</v>
      </c>
      <c r="G16" s="7">
        <f>SUMPRODUCT((LEFT(TRIM('[3]现券交易信息（逐笔）'!$B$2:$B$500),6)=LEFT($B16,6))*(IFERROR(--SUBSTITUTE('[3]现券交易信息（逐笔）'!$F$2:$F$500,",",""),0)*100))+SUMIF([1]sheet1!$D$2:$D$500,LEFT($B16,6)&amp;"*",[1]sheet1!$L$2:$L$500)*100</f>
        <v>0</v>
      </c>
      <c r="H16" s="7" t="str">
        <f>IF(G16=0,"",ROUND(F16*10000/G16,4))</f>
        <v/>
      </c>
      <c r="I16" s="8">
        <f>IFERROR(VLOOKUP(LEFT($B16,6)&amp;"*",[2]可交债!$A:$H,5,FALSE),"")</f>
        <v>0.3</v>
      </c>
      <c r="J16" s="8">
        <f>IFERROR(VLOOKUP(LEFT($B16,6)&amp;"*",[2]可交债!$A:$H,6,FALSE),"")</f>
        <v>5</v>
      </c>
      <c r="K16" s="8">
        <f>IFERROR(VLOOKUP(LEFT($B16,6)&amp;"*",[2]可交债!$A:$H,7,FALSE),"")</f>
        <v>13.75</v>
      </c>
      <c r="L16" s="8">
        <f>IFERROR(VLOOKUP(LEFT($B16,6)&amp;"*",[2]可交债!$A:$H,8,FALSE),"")</f>
        <v>9.81</v>
      </c>
      <c r="M16" s="8">
        <f>IFERROR(VLOOKUP(LEFT($B16,6),[4]中证可交换债券估值!$A:$H,5,FALSE),"")</f>
        <v>105.069999999999993</v>
      </c>
      <c r="N16" s="8">
        <f>IFERROR(VLOOKUP(LEFT($B16,6),[4]中证可交换债券估值!$A:$H,6,FALSE),"")</f>
        <v>0.8478</v>
      </c>
      <c r="O16" s="5">
        <f>IFERROR(VLOOKUP(LEFT($B16,6),[4]中证可交换债券估值!$A:$H,7,FALSE),"")</f>
        <v>104.222200000000001</v>
      </c>
    </row>
    <row r="17">
      <c r="A17" s="0" t="str">
        <f>TEXT([1]sheet1!$B$3,"yyyy-mm-dd")</f>
        <v>2026-08-17</v>
      </c>
      <c r="B17" s="0" t="str">
        <f>IF(LEN(TRIM([2]可交债!A17))=6,TRIM([2]可交债!A17)&amp;".SZ",TRIM([2]可交债!A17))</f>
        <v>117221.SZ</v>
      </c>
      <c r="C17" s="0" t="str">
        <f>IFERROR(VLOOKUP(LEFT($B17,6)&amp;"*",[2]可交债!$A:$H,2,FALSE),"")</f>
        <v>24恒健EB</v>
      </c>
      <c r="D17" s="0" t="str">
        <f>IFERROR(VLOOKUP(LEFT($B17,6)&amp;"*",[2]可交债!$A:$H,3,FALSE),"")</f>
        <v>003816.SZ</v>
      </c>
      <c r="E17" s="0" t="str">
        <f>IFERROR(VLOOKUP(LEFT($B17,6)&amp;"*",[2]可交债!$A:$H,4,FALSE),"")</f>
        <v>中国广核</v>
      </c>
      <c r="F17" s="7">
        <f>SUMPRODUCT((LEFT(TRIM('[3]现券交易信息（逐笔）'!$B$2:$B$500),6)=LEFT($B17,6))*(IFERROR(--SUBSTITUTE('[3]现券交易信息（逐笔）'!$G$2:$G$500,",",""),0)))+SUMIF([1]sheet1!$D$2:$D$500,LEFT($B17,6)&amp;"*",[1]sheet1!$M$2:$M$500)</f>
        <v>0</v>
      </c>
      <c r="G17" s="7">
        <f>SUMPRODUCT((LEFT(TRIM('[3]现券交易信息（逐笔）'!$B$2:$B$500),6)=LEFT($B17,6))*(IFERROR(--SUBSTITUTE('[3]现券交易信息（逐笔）'!$F$2:$F$500,",",""),0)*100))+SUMIF([1]sheet1!$D$2:$D$500,LEFT($B17,6)&amp;"*",[1]sheet1!$L$2:$L$500)*100</f>
        <v>0</v>
      </c>
      <c r="H17" s="7" t="str">
        <f>IF(G17=0,"",ROUND(F17*10000/G17,4))</f>
        <v/>
      </c>
      <c r="I17" s="8">
        <f>IFERROR(VLOOKUP(LEFT($B17,6)&amp;"*",[2]可交债!$A:$H,5,FALSE),"")</f>
        <v>0.01</v>
      </c>
      <c r="J17" s="8">
        <f>IFERROR(VLOOKUP(LEFT($B17,6)&amp;"*",[2]可交债!$A:$H,6,FALSE),"")</f>
        <v>4.5</v>
      </c>
      <c r="K17" s="8">
        <f>IFERROR(VLOOKUP(LEFT($B17,6)&amp;"*",[2]可交债!$A:$H,7,FALSE),"")</f>
        <v>3.98</v>
      </c>
      <c r="L17" s="8">
        <f>IFERROR(VLOOKUP(LEFT($B17,6)&amp;"*",[2]可交债!$A:$H,8,FALSE),"")</f>
        <v>3.86</v>
      </c>
      <c r="M17" s="8">
        <f>IFERROR(VLOOKUP(LEFT($B17,6),[4]中证可交换债券估值!$A:$H,5,FALSE),"")</f>
        <v>108.460800000000006</v>
      </c>
      <c r="N17" s="8">
        <f>IFERROR(VLOOKUP(LEFT($B17,6),[4]中证可交换债券估值!$A:$H,6,FALSE),"")</f>
        <v>5.0421</v>
      </c>
      <c r="O17" s="5">
        <f>IFERROR(VLOOKUP(LEFT($B17,6),[4]中证可交换债券估值!$A:$H,7,FALSE),"")</f>
        <v>103.418700000000001</v>
      </c>
    </row>
    <row r="18">
      <c r="A18" s="0" t="str">
        <f>TEXT([1]sheet1!$B$3,"yyyy-mm-dd")</f>
        <v>2026-08-17</v>
      </c>
      <c r="B18" s="0" t="str">
        <f>IF(LEN(TRIM([2]可交债!A18))=6,TRIM([2]可交债!A18)&amp;".SZ",TRIM([2]可交债!A18))</f>
        <v>137186.SH</v>
      </c>
      <c r="C18" s="0" t="str">
        <f>IFERROR(VLOOKUP(LEFT($B18,6)&amp;"*",[2]可交债!$A:$H,2,FALSE),"")</f>
        <v>24鲁商EB</v>
      </c>
      <c r="D18" s="0" t="str">
        <f>IFERROR(VLOOKUP(LEFT($B18,6)&amp;"*",[2]可交债!$A:$H,3,FALSE),"")</f>
        <v>600223.SH</v>
      </c>
      <c r="E18" s="0" t="str">
        <f>IFERROR(VLOOKUP(LEFT($B18,6)&amp;"*",[2]可交债!$A:$H,4,FALSE),"")</f>
        <v>福瑞达</v>
      </c>
      <c r="F18" s="7">
        <f>SUMPRODUCT((LEFT(TRIM('[3]现券交易信息（逐笔）'!$B$2:$B$500),6)=LEFT($B18,6))*(IFERROR(--SUBSTITUTE('[3]现券交易信息（逐笔）'!$G$2:$G$500,",",""),0)))+SUMIF([1]sheet1!$D$2:$D$500,LEFT($B18,6)&amp;"*",[1]sheet1!$M$2:$M$500)</f>
        <v>0</v>
      </c>
      <c r="G18" s="7">
        <f>SUMPRODUCT((LEFT(TRIM('[3]现券交易信息（逐笔）'!$B$2:$B$500),6)=LEFT($B18,6))*(IFERROR(--SUBSTITUTE('[3]现券交易信息（逐笔）'!$F$2:$F$500,",",""),0)*100))+SUMIF([1]sheet1!$D$2:$D$500,LEFT($B18,6)&amp;"*",[1]sheet1!$L$2:$L$500)*100</f>
        <v>0</v>
      </c>
      <c r="H18" s="7" t="str">
        <f>IF(G18=0,"",ROUND(F18*10000/G18,4))</f>
        <v/>
      </c>
      <c r="I18" s="8">
        <f>IFERROR(VLOOKUP(LEFT($B18,6)&amp;"*",[2]可交债!$A:$H,5,FALSE),"")</f>
        <v>2.5</v>
      </c>
      <c r="J18" s="8">
        <f>IFERROR(VLOOKUP(LEFT($B18,6)&amp;"*",[2]可交债!$A:$H,6,FALSE),"")</f>
        <v>10</v>
      </c>
      <c r="K18" s="8">
        <f>IFERROR(VLOOKUP(LEFT($B18,6)&amp;"*",[2]可交债!$A:$H,7,FALSE),"")</f>
        <v>13.23</v>
      </c>
      <c r="L18" s="8">
        <f>IFERROR(VLOOKUP(LEFT($B18,6)&amp;"*",[2]可交债!$A:$H,8,FALSE),"")</f>
        <v>5.62</v>
      </c>
      <c r="M18" s="8">
        <f>IFERROR(VLOOKUP(LEFT($B18,6),[4]中证可交换债券估值!$A:$H,5,FALSE),"")</f>
        <v>110.272900000000007</v>
      </c>
      <c r="N18" s="8">
        <f>IFERROR(VLOOKUP(LEFT($B18,6),[4]中证可交换债券估值!$A:$H,6,FALSE),"")</f>
        <v>0.667</v>
      </c>
      <c r="O18" s="5">
        <f>IFERROR(VLOOKUP(LEFT($B18,6),[4]中证可交换债券估值!$A:$H,7,FALSE),"")</f>
        <v>109.605900000000005</v>
      </c>
    </row>
    <row r="19">
      <c r="A19" s="0" t="str">
        <f>TEXT([1]sheet1!$B$3,"yyyy-mm-dd")</f>
        <v>2026-08-17</v>
      </c>
      <c r="B19" s="0" t="str">
        <f>IF(LEN(TRIM([2]可交债!A19))=6,TRIM([2]可交债!A19)&amp;".SZ",TRIM([2]可交债!A19))</f>
        <v>117223.SZ</v>
      </c>
      <c r="C19" s="0" t="str">
        <f>IFERROR(VLOOKUP(LEFT($B19,6)&amp;"*",[2]可交债!$A:$H,2,FALSE),"")</f>
        <v>24明德EB</v>
      </c>
      <c r="D19" s="0" t="str">
        <f>IFERROR(VLOOKUP(LEFT($B19,6)&amp;"*",[2]可交债!$A:$H,3,FALSE),"")</f>
        <v>002352.SZ</v>
      </c>
      <c r="E19" s="0" t="str">
        <f>IFERROR(VLOOKUP(LEFT($B19,6)&amp;"*",[2]可交债!$A:$H,4,FALSE),"")</f>
        <v>顺丰控股</v>
      </c>
      <c r="F19" s="7">
        <f>SUMPRODUCT((LEFT(TRIM('[3]现券交易信息（逐笔）'!$B$2:$B$500),6)=LEFT($B19,6))*(IFERROR(--SUBSTITUTE('[3]现券交易信息（逐笔）'!$G$2:$G$500,",",""),0)))+SUMIF([1]sheet1!$D$2:$D$500,LEFT($B19,6)&amp;"*",[1]sheet1!$M$2:$M$500)</f>
        <v>0</v>
      </c>
      <c r="G19" s="7">
        <f>SUMPRODUCT((LEFT(TRIM('[3]现券交易信息（逐笔）'!$B$2:$B$500),6)=LEFT($B19,6))*(IFERROR(--SUBSTITUTE('[3]现券交易信息（逐笔）'!$F$2:$F$500,",",""),0)*100))+SUMIF([1]sheet1!$D$2:$D$500,LEFT($B19,6)&amp;"*",[1]sheet1!$L$2:$L$500)*100</f>
        <v>0</v>
      </c>
      <c r="H19" s="7" t="str">
        <f>IF(G19=0,"",ROUND(F19*10000/G19,4))</f>
        <v/>
      </c>
      <c r="I19" s="8">
        <f>IFERROR(VLOOKUP(LEFT($B19,6)&amp;"*",[2]可交债!$A:$H,5,FALSE),"")</f>
        <v>2.9</v>
      </c>
      <c r="J19" s="8">
        <f>IFERROR(VLOOKUP(LEFT($B19,6)&amp;"*",[2]可交债!$A:$H,6,FALSE),"")</f>
        <v>0</v>
      </c>
      <c r="K19" s="8">
        <f>IFERROR(VLOOKUP(LEFT($B19,6)&amp;"*",[2]可交债!$A:$H,7,FALSE),"")</f>
        <v>55.049999999999997</v>
      </c>
      <c r="L19" s="8">
        <f>IFERROR(VLOOKUP(LEFT($B19,6)&amp;"*",[2]可交债!$A:$H,8,FALSE),"")</f>
        <v>32.520000000000003</v>
      </c>
      <c r="M19" s="8">
        <f>IFERROR(VLOOKUP(LEFT($B19,6),[4]中证可交换债券估值!$A:$H,5,FALSE),"")</f>
        <v>101.628</v>
      </c>
      <c r="N19" s="8">
        <f>IFERROR(VLOOKUP(LEFT($B19,6),[4]中证可交换债券估值!$A:$H,6,FALSE),"")</f>
        <v>0.0071</v>
      </c>
      <c r="O19" s="5">
        <f>IFERROR(VLOOKUP(LEFT($B19,6),[4]中证可交换债券估值!$A:$H,7,FALSE),"")</f>
        <v>101.620900000000006</v>
      </c>
    </row>
    <row r="20">
      <c r="A20" s="0" t="str">
        <f>TEXT([1]sheet1!$B$3,"yyyy-mm-dd")</f>
        <v>2026-08-17</v>
      </c>
      <c r="B20" s="0" t="str">
        <f>IF(LEN(TRIM([2]可交债!A20))=6,TRIM([2]可交债!A20)&amp;".SZ",TRIM([2]可交债!A20))</f>
        <v>137192.SH</v>
      </c>
      <c r="C20" s="0" t="str">
        <f>IFERROR(VLOOKUP(LEFT($B20,6)&amp;"*",[2]可交债!$A:$H,2,FALSE),"")</f>
        <v>24蜀道EB</v>
      </c>
      <c r="D20" s="0" t="str">
        <f>IFERROR(VLOOKUP(LEFT($B20,6)&amp;"*",[2]可交债!$A:$H,3,FALSE),"")</f>
        <v>600039.SH</v>
      </c>
      <c r="E20" s="0" t="str">
        <f>IFERROR(VLOOKUP(LEFT($B20,6)&amp;"*",[2]可交债!$A:$H,4,FALSE),"")</f>
        <v>四川路桥</v>
      </c>
      <c r="F20" s="7">
        <f>SUMPRODUCT((LEFT(TRIM('[3]现券交易信息（逐笔）'!$B$2:$B$500),6)=LEFT($B20,6))*(IFERROR(--SUBSTITUTE('[3]现券交易信息（逐笔）'!$G$2:$G$500,",",""),0)))+SUMIF([1]sheet1!$D$2:$D$500,LEFT($B20,6)&amp;"*",[1]sheet1!$M$2:$M$500)</f>
        <v>0</v>
      </c>
      <c r="G20" s="7">
        <f>SUMPRODUCT((LEFT(TRIM('[3]现券交易信息（逐笔）'!$B$2:$B$500),6)=LEFT($B20,6))*(IFERROR(--SUBSTITUTE('[3]现券交易信息（逐笔）'!$F$2:$F$500,",",""),0)*100))+SUMIF([1]sheet1!$D$2:$D$500,LEFT($B20,6)&amp;"*",[1]sheet1!$L$2:$L$500)*100</f>
        <v>0</v>
      </c>
      <c r="H20" s="7" t="str">
        <f>IF(G20=0,"",ROUND(F20*10000/G20,4))</f>
        <v/>
      </c>
      <c r="I20" s="8">
        <f>IFERROR(VLOOKUP(LEFT($B20,6)&amp;"*",[2]可交债!$A:$H,5,FALSE),"")</f>
        <v>0.01</v>
      </c>
      <c r="J20" s="8">
        <f>IFERROR(VLOOKUP(LEFT($B20,6)&amp;"*",[2]可交债!$A:$H,6,FALSE),"")</f>
        <v>3</v>
      </c>
      <c r="K20" s="8">
        <f>IFERROR(VLOOKUP(LEFT($B20,6)&amp;"*",[2]可交债!$A:$H,7,FALSE),"")</f>
        <v>7.88</v>
      </c>
      <c r="L20" s="8">
        <f>IFERROR(VLOOKUP(LEFT($B20,6)&amp;"*",[2]可交债!$A:$H,8,FALSE),"")</f>
        <v>8.470000000000001</v>
      </c>
      <c r="M20" s="8">
        <f>IFERROR(VLOOKUP(LEFT($B20,6),[4]中证可交换债券估值!$A:$H,5,FALSE),"")</f>
        <v>120.504099999999994</v>
      </c>
      <c r="N20" s="8">
        <f>IFERROR(VLOOKUP(LEFT($B20,6),[4]中证可交换债券估值!$A:$H,6,FALSE),"")</f>
        <v>19.735499999999998</v>
      </c>
      <c r="O20" s="5">
        <f>IFERROR(VLOOKUP(LEFT($B20,6),[4]中证可交换债券估值!$A:$H,7,FALSE),"")</f>
        <v>100.768600000000006</v>
      </c>
    </row>
    <row r="21">
      <c r="A21" s="0" t="str">
        <f>TEXT([1]sheet1!B2,"yyyy-mm-dd")</f>
        <v>2026-08-17</v>
      </c>
      <c r="B21" s="0" t="str">
        <f>IF(LEN(TRIM([1]sheet1!D2))=6,TRIM([1]sheet1!D2)&amp;".SZ",TRIM([1]sheet1!D2))</f>
        <v>137188.SH</v>
      </c>
      <c r="C21" s="0" t="str">
        <f>IFERROR(VLOOKUP(LEFT($B21,6)&amp;"*",[2]可交债!$A:$H,2,FALSE),"")</f>
        <v>24穗港EB</v>
      </c>
      <c r="D21" s="0" t="str">
        <f>IFERROR(VLOOKUP(LEFT($B21,6)&amp;"*",[2]可交债!$A:$H,3,FALSE),"")</f>
        <v>601228.SH</v>
      </c>
      <c r="E21" s="0" t="str">
        <f>IFERROR(VLOOKUP(LEFT($B21,6)&amp;"*",[2]可交债!$A:$H,4,FALSE),"")</f>
        <v>广州港</v>
      </c>
      <c r="F21" s="7">
        <f>[1]sheet1!M2</f>
        <v>330.149999999999977</v>
      </c>
      <c r="G21" s="7">
        <f>[1]sheet1!L2*100</f>
        <v>30000</v>
      </c>
      <c r="H21" s="7">
        <f>IF(G21=0,"",ROUND(F21*10000/G21,4))</f>
        <v>110.049999999999997</v>
      </c>
      <c r="I21" s="8">
        <f>IFERROR(VLOOKUP(LEFT($B21,6)&amp;"*",[2]可交债!$A:$H,5,FALSE),"")</f>
        <v>0.1</v>
      </c>
      <c r="J21" s="8">
        <f>IFERROR(VLOOKUP(LEFT($B21,6)&amp;"*",[2]可交债!$A:$H,6,FALSE),"")</f>
        <v>5</v>
      </c>
      <c r="K21" s="8">
        <f>IFERROR(VLOOKUP(LEFT($B21,6)&amp;"*",[2]可交债!$A:$H,7,FALSE),"")</f>
        <v>3.63</v>
      </c>
      <c r="L21" s="8">
        <f>IFERROR(VLOOKUP(LEFT($B21,6)&amp;"*",[2]可交债!$A:$H,8,FALSE),"")</f>
        <v>3.04</v>
      </c>
      <c r="M21" s="8">
        <f>IFERROR(VLOOKUP(LEFT($B21,6),[4]中证可交换债券估值!$A:$H,5,FALSE),"")</f>
        <v>106.306299999999993</v>
      </c>
      <c r="N21" s="8">
        <f>IFERROR(VLOOKUP(LEFT($B21,6),[4]中证可交换债券估值!$A:$H,6,FALSE),"")</f>
        <v>3.0021</v>
      </c>
      <c r="O21" s="5">
        <f>IFERROR(VLOOKUP(LEFT($B21,6),[4]中证可交换债券估值!$A:$H,7,FALSE),"")</f>
        <v>103.304199999999994</v>
      </c>
    </row>
    <row r="22">
      <c r="A22" s="0" t="str">
        <f>TEXT([1]sheet1!B3,"yyyy-mm-dd")</f>
        <v>2026-08-17</v>
      </c>
      <c r="B22" s="0" t="str">
        <f>IF(LEN(TRIM([1]sheet1!D3))=6,TRIM([1]sheet1!D3)&amp;".SZ",TRIM([1]sheet1!D3))</f>
        <v>137188.SH</v>
      </c>
      <c r="C22" s="0" t="str">
        <f>IFERROR(VLOOKUP(LEFT($B22,6)&amp;"*",[2]可交债!$A:$H,2,FALSE),"")</f>
        <v>24穗港EB</v>
      </c>
      <c r="D22" s="0" t="str">
        <f>IFERROR(VLOOKUP(LEFT($B22,6)&amp;"*",[2]可交债!$A:$H,3,FALSE),"")</f>
        <v>601228.SH</v>
      </c>
      <c r="E22" s="0" t="str">
        <f>IFERROR(VLOOKUP(LEFT($B22,6)&amp;"*",[2]可交债!$A:$H,4,FALSE),"")</f>
        <v>广州港</v>
      </c>
      <c r="F22" s="7">
        <f>[1]sheet1!M3</f>
        <v>330</v>
      </c>
      <c r="G22" s="7">
        <f>[1]sheet1!L3*100</f>
        <v>30000</v>
      </c>
      <c r="H22" s="7">
        <f>IF(G22=0,"",ROUND(F22*10000/G22,4))</f>
        <v>110</v>
      </c>
      <c r="I22" s="8">
        <f>IFERROR(VLOOKUP(LEFT($B22,6)&amp;"*",[2]可交债!$A:$H,5,FALSE),"")</f>
        <v>0.1</v>
      </c>
      <c r="J22" s="8">
        <f>IFERROR(VLOOKUP(LEFT($B22,6)&amp;"*",[2]可交债!$A:$H,6,FALSE),"")</f>
        <v>5</v>
      </c>
      <c r="K22" s="8">
        <f>IFERROR(VLOOKUP(LEFT($B22,6)&amp;"*",[2]可交债!$A:$H,7,FALSE),"")</f>
        <v>3.63</v>
      </c>
      <c r="L22" s="8">
        <f>IFERROR(VLOOKUP(LEFT($B22,6)&amp;"*",[2]可交债!$A:$H,8,FALSE),"")</f>
        <v>3.04</v>
      </c>
      <c r="M22" s="8">
        <f>IFERROR(VLOOKUP(LEFT($B22,6),[4]中证可交换债券估值!$A:$H,5,FALSE),"")</f>
        <v>106.306299999999993</v>
      </c>
      <c r="N22" s="8">
        <f>IFERROR(VLOOKUP(LEFT($B22,6),[4]中证可交换债券估值!$A:$H,6,FALSE),"")</f>
        <v>3.0021</v>
      </c>
      <c r="O22" s="5">
        <f>IFERROR(VLOOKUP(LEFT($B22,6),[4]中证可交换债券估值!$A:$H,7,FALSE),"")</f>
        <v>103.304199999999994</v>
      </c>
    </row>
    <row r="23">
      <c r="A23" s="0" t="str">
        <f>TEXT([1]sheet1!$B$3,"yyyy-mm-dd")</f>
        <v>2026-08-17</v>
      </c>
      <c r="B23" s="0" t="str">
        <f>IF(LEN(TRIM([2]可交债!A22))=6,TRIM([2]可交债!A22)&amp;".SZ",TRIM([2]可交债!A22))</f>
        <v>117242.SZ</v>
      </c>
      <c r="C23" s="0" t="str">
        <f>IFERROR(VLOOKUP(LEFT($B23,6)&amp;"*",[2]可交债!$A:$H,2,FALSE),"")</f>
        <v>25成大E1</v>
      </c>
      <c r="D23" s="0" t="str">
        <f>IFERROR(VLOOKUP(LEFT($B23,6)&amp;"*",[2]可交债!$A:$H,3,FALSE),"")</f>
        <v>000776.SZ</v>
      </c>
      <c r="E23" s="0" t="str">
        <f>IFERROR(VLOOKUP(LEFT($B23,6)&amp;"*",[2]可交债!$A:$H,4,FALSE),"")</f>
        <v>广发证券</v>
      </c>
      <c r="F23" s="7">
        <f>SUMPRODUCT((LEFT(TRIM('[3]现券交易信息（逐笔）'!$B$2:$B$500),6)=LEFT($B23,6))*(IFERROR(--SUBSTITUTE('[3]现券交易信息（逐笔）'!$G$2:$G$500,",",""),0)))+SUMIF([1]sheet1!$D$2:$D$500,LEFT($B23,6)&amp;"*",[1]sheet1!$M$2:$M$500)</f>
        <v>0</v>
      </c>
      <c r="G23" s="7">
        <f>SUMPRODUCT((LEFT(TRIM('[3]现券交易信息（逐笔）'!$B$2:$B$500),6)=LEFT($B23,6))*(IFERROR(--SUBSTITUTE('[3]现券交易信息（逐笔）'!$F$2:$F$500,",",""),0)*100))+SUMIF([1]sheet1!$D$2:$D$500,LEFT($B23,6)&amp;"*",[1]sheet1!$L$2:$L$500)*100</f>
        <v>0</v>
      </c>
      <c r="H23" s="7" t="str">
        <f>IF(G23=0,"",ROUND(F23*10000/G23,4))</f>
        <v/>
      </c>
      <c r="I23" s="8">
        <f>IFERROR(VLOOKUP(LEFT($B23,6)&amp;"*",[2]可交债!$A:$H,5,FALSE),"")</f>
        <v>0.01</v>
      </c>
      <c r="J23" s="8">
        <f>IFERROR(VLOOKUP(LEFT($B23,6)&amp;"*",[2]可交债!$A:$H,6,FALSE),"")</f>
        <v>6</v>
      </c>
      <c r="K23" s="8">
        <f>IFERROR(VLOOKUP(LEFT($B23,6)&amp;"*",[2]可交债!$A:$H,7,FALSE),"")</f>
        <v>24.079999999999998</v>
      </c>
      <c r="L23" s="8">
        <f>IFERROR(VLOOKUP(LEFT($B23,6)&amp;"*",[2]可交债!$A:$H,8,FALSE),"")</f>
        <v>21.210000000000001</v>
      </c>
      <c r="M23" s="8">
        <f>IFERROR(VLOOKUP(LEFT($B23,6),[4]中证可交换债券估值!$A:$H,5,FALSE),"")</f>
        <v>112.791399999999996</v>
      </c>
      <c r="N23" s="8">
        <f>IFERROR(VLOOKUP(LEFT($B23,6),[4]中证可交换债券估值!$A:$H,6,FALSE),"")</f>
        <v>11.069900000000001</v>
      </c>
      <c r="O23" s="5">
        <f>IFERROR(VLOOKUP(LEFT($B23,6),[4]中证可交换债券估值!$A:$H,7,FALSE),"")</f>
        <v>101.721500000000006</v>
      </c>
    </row>
    <row r="24">
      <c r="A24" s="0" t="str">
        <f>TEXT([1]sheet1!$B$3,"yyyy-mm-dd")</f>
        <v>2026-08-17</v>
      </c>
      <c r="B24" s="0" t="str">
        <f>IF(LEN(TRIM([2]可交债!A23))=6,TRIM([2]可交债!A23)&amp;".SZ",TRIM([2]可交债!A23))</f>
        <v>117247.SZ</v>
      </c>
      <c r="C24" s="0" t="str">
        <f>IFERROR(VLOOKUP(LEFT($B24,6)&amp;"*",[2]可交债!$A:$H,2,FALSE),"")</f>
        <v>25成大E2</v>
      </c>
      <c r="D24" s="0" t="str">
        <f>IFERROR(VLOOKUP(LEFT($B24,6)&amp;"*",[2]可交债!$A:$H,3,FALSE),"")</f>
        <v>000776.SZ</v>
      </c>
      <c r="E24" s="0" t="str">
        <f>IFERROR(VLOOKUP(LEFT($B24,6)&amp;"*",[2]可交债!$A:$H,4,FALSE),"")</f>
        <v>广发证券</v>
      </c>
      <c r="F24" s="7">
        <f>SUMPRODUCT((LEFT(TRIM('[3]现券交易信息（逐笔）'!$B$2:$B$500),6)=LEFT($B24,6))*(IFERROR(--SUBSTITUTE('[3]现券交易信息（逐笔）'!$G$2:$G$500,",",""),0)))+SUMIF([1]sheet1!$D$2:$D$500,LEFT($B24,6)&amp;"*",[1]sheet1!$M$2:$M$500)</f>
        <v>0</v>
      </c>
      <c r="G24" s="7">
        <f>SUMPRODUCT((LEFT(TRIM('[3]现券交易信息（逐笔）'!$B$2:$B$500),6)=LEFT($B24,6))*(IFERROR(--SUBSTITUTE('[3]现券交易信息（逐笔）'!$F$2:$F$500,",",""),0)*100))+SUMIF([1]sheet1!$D$2:$D$500,LEFT($B24,6)&amp;"*",[1]sheet1!$L$2:$L$500)*100</f>
        <v>0</v>
      </c>
      <c r="H24" s="7" t="str">
        <f>IF(G24=0,"",ROUND(F24*10000/G24,4))</f>
        <v/>
      </c>
      <c r="I24" s="8">
        <f>IFERROR(VLOOKUP(LEFT($B24,6)&amp;"*",[2]可交债!$A:$H,5,FALSE),"")</f>
        <v>0.01</v>
      </c>
      <c r="J24" s="8">
        <f>IFERROR(VLOOKUP(LEFT($B24,6)&amp;"*",[2]可交债!$A:$H,6,FALSE),"")</f>
        <v>6</v>
      </c>
      <c r="K24" s="8">
        <f>IFERROR(VLOOKUP(LEFT($B24,6)&amp;"*",[2]可交债!$A:$H,7,FALSE),"")</f>
        <v>24.079999999999998</v>
      </c>
      <c r="L24" s="8">
        <f>IFERROR(VLOOKUP(LEFT($B24,6)&amp;"*",[2]可交债!$A:$H,8,FALSE),"")</f>
        <v>21.210000000000001</v>
      </c>
      <c r="M24" s="8">
        <f>IFERROR(VLOOKUP(LEFT($B24,6),[4]中证可交换债券估值!$A:$H,5,FALSE),"")</f>
        <v>115.456999999999994</v>
      </c>
      <c r="N24" s="8">
        <f>IFERROR(VLOOKUP(LEFT($B24,6),[4]中证可交换债券估值!$A:$H,6,FALSE),"")</f>
        <v>14.2288</v>
      </c>
      <c r="O24" s="5">
        <f>IFERROR(VLOOKUP(LEFT($B24,6),[4]中证可交换债券估值!$A:$H,7,FALSE),"")</f>
        <v>101.228200000000001</v>
      </c>
    </row>
    <row r="25">
      <c r="A25" s="0" t="str">
        <f>TEXT([1]sheet1!$B$3,"yyyy-mm-dd")</f>
        <v>2026-08-17</v>
      </c>
      <c r="B25" s="0" t="str">
        <f>IF(LEN(TRIM([2]可交债!A24))=6,TRIM([2]可交债!A24)&amp;".SZ",TRIM([2]可交债!A24))</f>
        <v>117231.SZ</v>
      </c>
      <c r="C25" s="0" t="str">
        <f>IFERROR(VLOOKUP(LEFT($B25,6)&amp;"*",[2]可交债!$A:$H,2,FALSE),"")</f>
        <v>25华强E1</v>
      </c>
      <c r="D25" s="0" t="str">
        <f>IFERROR(VLOOKUP(LEFT($B25,6)&amp;"*",[2]可交债!$A:$H,3,FALSE),"")</f>
        <v>000062.SZ</v>
      </c>
      <c r="E25" s="0" t="str">
        <f>IFERROR(VLOOKUP(LEFT($B25,6)&amp;"*",[2]可交债!$A:$H,4,FALSE),"")</f>
        <v>深圳华强</v>
      </c>
      <c r="F25" s="7">
        <f>SUMPRODUCT((LEFT(TRIM('[3]现券交易信息（逐笔）'!$B$2:$B$500),6)=LEFT($B25,6))*(IFERROR(--SUBSTITUTE('[3]现券交易信息（逐笔）'!$G$2:$G$500,",",""),0)))+SUMIF([1]sheet1!$D$2:$D$500,LEFT($B25,6)&amp;"*",[1]sheet1!$M$2:$M$500)</f>
        <v>0</v>
      </c>
      <c r="G25" s="7">
        <f>SUMPRODUCT((LEFT(TRIM('[3]现券交易信息（逐笔）'!$B$2:$B$500),6)=LEFT($B25,6))*(IFERROR(--SUBSTITUTE('[3]现券交易信息（逐笔）'!$F$2:$F$500,",",""),0)*100))+SUMIF([1]sheet1!$D$2:$D$500,LEFT($B25,6)&amp;"*",[1]sheet1!$L$2:$L$500)*100</f>
        <v>0</v>
      </c>
      <c r="H25" s="7" t="str">
        <f>IF(G25=0,"",ROUND(F25*10000/G25,4))</f>
        <v/>
      </c>
      <c r="I25" s="8">
        <f>IFERROR(VLOOKUP(LEFT($B25,6)&amp;"*",[2]可交债!$A:$H,5,FALSE),"")</f>
        <v>0.01</v>
      </c>
      <c r="J25" s="8">
        <f>IFERROR(VLOOKUP(LEFT($B25,6)&amp;"*",[2]可交债!$A:$H,6,FALSE),"")</f>
        <v>6</v>
      </c>
      <c r="K25" s="8">
        <f>IFERROR(VLOOKUP(LEFT($B25,6)&amp;"*",[2]可交债!$A:$H,7,FALSE),"")</f>
        <v>29.870000000000001</v>
      </c>
      <c r="L25" s="8">
        <f>IFERROR(VLOOKUP(LEFT($B25,6)&amp;"*",[2]可交债!$A:$H,8,FALSE),"")</f>
        <v>23.739999999999998</v>
      </c>
      <c r="M25" s="8">
        <f>IFERROR(VLOOKUP(LEFT($B25,6),[4]中证可交换债券估值!$A:$H,5,FALSE),"")</f>
        <v>110.861800000000002</v>
      </c>
      <c r="N25" s="8">
        <f>IFERROR(VLOOKUP(LEFT($B25,6),[4]中证可交换债券估值!$A:$H,6,FALSE),"")</f>
        <v>8.9298</v>
      </c>
      <c r="O25" s="5">
        <f>IFERROR(VLOOKUP(LEFT($B25,6),[4]中证可交换债券估值!$A:$H,7,FALSE),"")</f>
        <v>101.932000000000002</v>
      </c>
    </row>
    <row r="26">
      <c r="A26" s="0" t="str">
        <f>TEXT([1]sheet1!$B$3,"yyyy-mm-dd")</f>
        <v>2026-08-17</v>
      </c>
      <c r="B26" s="0" t="str">
        <f>IF(LEN(TRIM([2]可交债!A25))=6,TRIM([2]可交债!A25)&amp;".SZ",TRIM([2]可交债!A25))</f>
        <v>117232.SZ</v>
      </c>
      <c r="C26" s="0" t="str">
        <f>IFERROR(VLOOKUP(LEFT($B26,6)&amp;"*",[2]可交债!$A:$H,2,FALSE),"")</f>
        <v>25华强E2</v>
      </c>
      <c r="D26" s="0" t="str">
        <f>IFERROR(VLOOKUP(LEFT($B26,6)&amp;"*",[2]可交债!$A:$H,3,FALSE),"")</f>
        <v>000062.SZ</v>
      </c>
      <c r="E26" s="0" t="str">
        <f>IFERROR(VLOOKUP(LEFT($B26,6)&amp;"*",[2]可交债!$A:$H,4,FALSE),"")</f>
        <v>深圳华强</v>
      </c>
      <c r="F26" s="7">
        <f>SUMPRODUCT((LEFT(TRIM('[3]现券交易信息（逐笔）'!$B$2:$B$500),6)=LEFT($B26,6))*(IFERROR(--SUBSTITUTE('[3]现券交易信息（逐笔）'!$G$2:$G$500,",",""),0)))+SUMIF([1]sheet1!$D$2:$D$500,LEFT($B26,6)&amp;"*",[1]sheet1!$M$2:$M$500)</f>
        <v>0</v>
      </c>
      <c r="G26" s="7">
        <f>SUMPRODUCT((LEFT(TRIM('[3]现券交易信息（逐笔）'!$B$2:$B$500),6)=LEFT($B26,6))*(IFERROR(--SUBSTITUTE('[3]现券交易信息（逐笔）'!$F$2:$F$500,",",""),0)*100))+SUMIF([1]sheet1!$D$2:$D$500,LEFT($B26,6)&amp;"*",[1]sheet1!$L$2:$L$500)*100</f>
        <v>0</v>
      </c>
      <c r="H26" s="7" t="str">
        <f>IF(G26=0,"",ROUND(F26*10000/G26,4))</f>
        <v/>
      </c>
      <c r="I26" s="8">
        <f>IFERROR(VLOOKUP(LEFT($B26,6)&amp;"*",[2]可交债!$A:$H,5,FALSE),"")</f>
        <v>0.01</v>
      </c>
      <c r="J26" s="8">
        <f>IFERROR(VLOOKUP(LEFT($B26,6)&amp;"*",[2]可交债!$A:$H,6,FALSE),"")</f>
        <v>6</v>
      </c>
      <c r="K26" s="8">
        <f>IFERROR(VLOOKUP(LEFT($B26,6)&amp;"*",[2]可交债!$A:$H,7,FALSE),"")</f>
        <v>29.870000000000001</v>
      </c>
      <c r="L26" s="8">
        <f>IFERROR(VLOOKUP(LEFT($B26,6)&amp;"*",[2]可交债!$A:$H,8,FALSE),"")</f>
        <v>23.739999999999998</v>
      </c>
      <c r="M26" s="8">
        <f>IFERROR(VLOOKUP(LEFT($B26,6),[4]中证可交换债券估值!$A:$H,5,FALSE),"")</f>
        <v>107.965500000000006</v>
      </c>
      <c r="N26" s="8">
        <f>IFERROR(VLOOKUP(LEFT($B26,6),[4]中证可交换债券估值!$A:$H,6,FALSE),"")</f>
        <v>6.0776</v>
      </c>
      <c r="O26" s="5">
        <f>IFERROR(VLOOKUP(LEFT($B26,6),[4]中证可交换债券估值!$A:$H,7,FALSE),"")</f>
        <v>101.887900000000002</v>
      </c>
    </row>
    <row r="27">
      <c r="A27" s="0" t="str">
        <f>TEXT([1]sheet1!$B$3,"yyyy-mm-dd")</f>
        <v>2026-08-17</v>
      </c>
      <c r="B27" s="0" t="str">
        <f>IF(LEN(TRIM([2]可交债!A26))=6,TRIM([2]可交债!A26)&amp;".SZ",TRIM([2]可交债!A26))</f>
        <v>117245.SZ</v>
      </c>
      <c r="C27" s="0" t="str">
        <f>IFERROR(VLOOKUP(LEFT($B27,6)&amp;"*",[2]可交债!$A:$H,2,FALSE),"")</f>
        <v>25华强E3</v>
      </c>
      <c r="D27" s="0" t="str">
        <f>IFERROR(VLOOKUP(LEFT($B27,6)&amp;"*",[2]可交债!$A:$H,3,FALSE),"")</f>
        <v>000062.SZ</v>
      </c>
      <c r="E27" s="0" t="str">
        <f>IFERROR(VLOOKUP(LEFT($B27,6)&amp;"*",[2]可交债!$A:$H,4,FALSE),"")</f>
        <v>深圳华强</v>
      </c>
      <c r="F27" s="7">
        <f>SUMPRODUCT((LEFT(TRIM('[3]现券交易信息（逐笔）'!$B$2:$B$500),6)=LEFT($B27,6))*(IFERROR(--SUBSTITUTE('[3]现券交易信息（逐笔）'!$G$2:$G$500,",",""),0)))+SUMIF([1]sheet1!$D$2:$D$500,LEFT($B27,6)&amp;"*",[1]sheet1!$M$2:$M$500)</f>
        <v>0</v>
      </c>
      <c r="G27" s="7">
        <f>SUMPRODUCT((LEFT(TRIM('[3]现券交易信息（逐笔）'!$B$2:$B$500),6)=LEFT($B27,6))*(IFERROR(--SUBSTITUTE('[3]现券交易信息（逐笔）'!$F$2:$F$500,",",""),0)*100))+SUMIF([1]sheet1!$D$2:$D$500,LEFT($B27,6)&amp;"*",[1]sheet1!$L$2:$L$500)*100</f>
        <v>0</v>
      </c>
      <c r="H27" s="7" t="str">
        <f>IF(G27=0,"",ROUND(F27*10000/G27,4))</f>
        <v/>
      </c>
      <c r="I27" s="8">
        <f>IFERROR(VLOOKUP(LEFT($B27,6)&amp;"*",[2]可交债!$A:$H,5,FALSE),"")</f>
        <v>0.01</v>
      </c>
      <c r="J27" s="8">
        <f>IFERROR(VLOOKUP(LEFT($B27,6)&amp;"*",[2]可交债!$A:$H,6,FALSE),"")</f>
        <v>3</v>
      </c>
      <c r="K27" s="8">
        <f>IFERROR(VLOOKUP(LEFT($B27,6)&amp;"*",[2]可交债!$A:$H,7,FALSE),"")</f>
        <v>29.870000000000001</v>
      </c>
      <c r="L27" s="8">
        <f>IFERROR(VLOOKUP(LEFT($B27,6)&amp;"*",[2]可交债!$A:$H,8,FALSE),"")</f>
        <v>23.739999999999998</v>
      </c>
      <c r="M27" s="8">
        <f>IFERROR(VLOOKUP(LEFT($B27,6),[4]中证可交换债券估值!$A:$H,5,FALSE),"")</f>
        <v>107.479100000000003</v>
      </c>
      <c r="N27" s="8">
        <f>IFERROR(VLOOKUP(LEFT($B27,6),[4]中证可交换债券估值!$A:$H,6,FALSE),"")</f>
        <v>9.803699999999999</v>
      </c>
      <c r="O27" s="5">
        <f>IFERROR(VLOOKUP(LEFT($B27,6),[4]中证可交换债券估值!$A:$H,7,FALSE),"")</f>
        <v>97.675399999999996</v>
      </c>
    </row>
    <row r="28">
      <c r="A28" s="0" t="str">
        <f>TEXT([1]sheet1!$B$3,"yyyy-mm-dd")</f>
        <v>2026-08-17</v>
      </c>
      <c r="B28" s="0" t="str">
        <f>IF(LEN(TRIM([2]可交债!A27))=6,TRIM([2]可交债!A27)&amp;".SZ",TRIM([2]可交债!A27))</f>
        <v>117238.SZ</v>
      </c>
      <c r="C28" s="0" t="str">
        <f>IFERROR(VLOOKUP(LEFT($B28,6)&amp;"*",[2]可交债!$A:$H,2,FALSE),"")</f>
        <v>25霍煤EB</v>
      </c>
      <c r="D28" s="0" t="str">
        <f>IFERROR(VLOOKUP(LEFT($B28,6)&amp;"*",[2]可交债!$A:$H,3,FALSE),"")</f>
        <v>002128.SZ</v>
      </c>
      <c r="E28" s="0" t="str">
        <f>IFERROR(VLOOKUP(LEFT($B28,6)&amp;"*",[2]可交债!$A:$H,4,FALSE),"")</f>
        <v>电投能源</v>
      </c>
      <c r="F28" s="7">
        <f>SUMPRODUCT((LEFT(TRIM('[3]现券交易信息（逐笔）'!$B$2:$B$500),6)=LEFT($B28,6))*(IFERROR(--SUBSTITUTE('[3]现券交易信息（逐笔）'!$G$2:$G$500,",",""),0)))+SUMIF([1]sheet1!$D$2:$D$500,LEFT($B28,6)&amp;"*",[1]sheet1!$M$2:$M$500)</f>
        <v>0</v>
      </c>
      <c r="G28" s="7">
        <f>SUMPRODUCT((LEFT(TRIM('[3]现券交易信息（逐笔）'!$B$2:$B$500),6)=LEFT($B28,6))*(IFERROR(--SUBSTITUTE('[3]现券交易信息（逐笔）'!$F$2:$F$500,",",""),0)*100))+SUMIF([1]sheet1!$D$2:$D$500,LEFT($B28,6)&amp;"*",[1]sheet1!$L$2:$L$500)*100</f>
        <v>0</v>
      </c>
      <c r="H28" s="7" t="str">
        <f>IF(G28=0,"",ROUND(F28*10000/G28,4))</f>
        <v/>
      </c>
      <c r="I28" s="8">
        <f>IFERROR(VLOOKUP(LEFT($B28,6)&amp;"*",[2]可交债!$A:$H,5,FALSE),"")</f>
        <v>0.5</v>
      </c>
      <c r="J28" s="8">
        <f>IFERROR(VLOOKUP(LEFT($B28,6)&amp;"*",[2]可交债!$A:$H,6,FALSE),"")</f>
        <v>15</v>
      </c>
      <c r="K28" s="8">
        <f>IFERROR(VLOOKUP(LEFT($B28,6)&amp;"*",[2]可交债!$A:$H,7,FALSE),"")</f>
        <v>53.700000000000003</v>
      </c>
      <c r="L28" s="8">
        <f>IFERROR(VLOOKUP(LEFT($B28,6)&amp;"*",[2]可交债!$A:$H,8,FALSE),"")</f>
        <v>27.260000000000002</v>
      </c>
      <c r="M28" s="8">
        <f>IFERROR(VLOOKUP(LEFT($B28,6),[4]中证可交换债券估值!$A:$H,5,FALSE),"")</f>
        <v>108.405799999999999</v>
      </c>
      <c r="N28" s="8">
        <f>IFERROR(VLOOKUP(LEFT($B28,6),[4]中证可交换债券估值!$A:$H,6,FALSE),"")</f>
        <v>1.0715</v>
      </c>
      <c r="O28" s="5">
        <f>IFERROR(VLOOKUP(LEFT($B28,6),[4]中证可交换债券估值!$A:$H,7,FALSE),"")</f>
        <v>107.334299999999999</v>
      </c>
    </row>
    <row r="29">
      <c r="A29" s="0" t="str">
        <f>TEXT([1]sheet1!$B$3,"yyyy-mm-dd")</f>
        <v>2026-08-17</v>
      </c>
      <c r="B29" s="0" t="str">
        <f>IF(LEN(TRIM([2]可交债!A28))=6,TRIM([2]可交债!A28)&amp;".SZ",TRIM([2]可交债!A28))</f>
        <v>137195.SH</v>
      </c>
      <c r="C29" s="0" t="str">
        <f>IFERROR(VLOOKUP(LEFT($B29,6)&amp;"*",[2]可交债!$A:$H,2,FALSE),"")</f>
        <v>25康01EB</v>
      </c>
      <c r="D29" s="0" t="str">
        <f>IFERROR(VLOOKUP(LEFT($B29,6)&amp;"*",[2]可交债!$A:$H,3,FALSE),"")</f>
        <v>601127.SH</v>
      </c>
      <c r="E29" s="0" t="str">
        <f>IFERROR(VLOOKUP(LEFT($B29,6)&amp;"*",[2]可交债!$A:$H,4,FALSE),"")</f>
        <v>赛力斯</v>
      </c>
      <c r="F29" s="7">
        <f>SUMPRODUCT((LEFT(TRIM('[3]现券交易信息（逐笔）'!$B$2:$B$500),6)=LEFT($B29,6))*(IFERROR(--SUBSTITUTE('[3]现券交易信息（逐笔）'!$G$2:$G$500,",",""),0)))+SUMIF([1]sheet1!$D$2:$D$500,LEFT($B29,6)&amp;"*",[1]sheet1!$M$2:$M$500)</f>
        <v>0</v>
      </c>
      <c r="G29" s="7">
        <f>SUMPRODUCT((LEFT(TRIM('[3]现券交易信息（逐笔）'!$B$2:$B$500),6)=LEFT($B29,6))*(IFERROR(--SUBSTITUTE('[3]现券交易信息（逐笔）'!$F$2:$F$500,",",""),0)*100))+SUMIF([1]sheet1!$D$2:$D$500,LEFT($B29,6)&amp;"*",[1]sheet1!$L$2:$L$500)*100</f>
        <v>0</v>
      </c>
      <c r="H29" s="7" t="str">
        <f>IF(G29=0,"",ROUND(F29*10000/G29,4))</f>
        <v/>
      </c>
      <c r="I29" s="8">
        <f>IFERROR(VLOOKUP(LEFT($B29,6)&amp;"*",[2]可交债!$A:$H,5,FALSE),"")</f>
        <v>0.1</v>
      </c>
      <c r="J29" s="8">
        <f>IFERROR(VLOOKUP(LEFT($B29,6)&amp;"*",[2]可交债!$A:$H,6,FALSE),"")</f>
        <v>9</v>
      </c>
      <c r="K29" s="8">
        <f>IFERROR(VLOOKUP(LEFT($B29,6)&amp;"*",[2]可交债!$A:$H,7,FALSE),"")</f>
        <v>121.200000000000003</v>
      </c>
      <c r="L29" s="8">
        <f>IFERROR(VLOOKUP(LEFT($B29,6)&amp;"*",[2]可交债!$A:$H,8,FALSE),"")</f>
        <v>53.140000000000001</v>
      </c>
      <c r="M29" s="8">
        <f>IFERROR(VLOOKUP(LEFT($B29,6),[4]中证可交换债券估值!$A:$H,5,FALSE),"")</f>
        <v>103.871200000000002</v>
      </c>
      <c r="N29" s="8">
        <f>IFERROR(VLOOKUP(LEFT($B29,6),[4]中证可交换债券估值!$A:$H,6,FALSE),"")</f>
        <v>0.6447</v>
      </c>
      <c r="O29" s="5">
        <f>IFERROR(VLOOKUP(LEFT($B29,6),[4]中证可交换债券估值!$A:$H,7,FALSE),"")</f>
        <v>103.226500000000001</v>
      </c>
    </row>
    <row r="30">
      <c r="A30" s="0" t="str">
        <f>TEXT([1]sheet1!$B$3,"yyyy-mm-dd")</f>
        <v>2026-08-17</v>
      </c>
      <c r="B30" s="0" t="str">
        <f>IF(LEN(TRIM([2]可交债!A29))=6,TRIM([2]可交债!A29)&amp;".SZ",TRIM([2]可交债!A29))</f>
        <v>137196.SH</v>
      </c>
      <c r="C30" s="0" t="str">
        <f>IFERROR(VLOOKUP(LEFT($B30,6)&amp;"*",[2]可交债!$A:$H,2,FALSE),"")</f>
        <v>25康02EB</v>
      </c>
      <c r="D30" s="0" t="str">
        <f>IFERROR(VLOOKUP(LEFT($B30,6)&amp;"*",[2]可交债!$A:$H,3,FALSE),"")</f>
        <v>601127.SH</v>
      </c>
      <c r="E30" s="0" t="str">
        <f>IFERROR(VLOOKUP(LEFT($B30,6)&amp;"*",[2]可交债!$A:$H,4,FALSE),"")</f>
        <v>赛力斯</v>
      </c>
      <c r="F30" s="7">
        <f>SUMPRODUCT((LEFT(TRIM('[3]现券交易信息（逐笔）'!$B$2:$B$500),6)=LEFT($B30,6))*(IFERROR(--SUBSTITUTE('[3]现券交易信息（逐笔）'!$G$2:$G$500,",",""),0)))+SUMIF([1]sheet1!$D$2:$D$500,LEFT($B30,6)&amp;"*",[1]sheet1!$M$2:$M$500)</f>
        <v>0</v>
      </c>
      <c r="G30" s="7">
        <f>SUMPRODUCT((LEFT(TRIM('[3]现券交易信息（逐笔）'!$B$2:$B$500),6)=LEFT($B30,6))*(IFERROR(--SUBSTITUTE('[3]现券交易信息（逐笔）'!$F$2:$F$500,",",""),0)*100))+SUMIF([1]sheet1!$D$2:$D$500,LEFT($B30,6)&amp;"*",[1]sheet1!$L$2:$L$500)*100</f>
        <v>0</v>
      </c>
      <c r="H30" s="7" t="str">
        <f>IF(G30=0,"",ROUND(F30*10000/G30,4))</f>
        <v/>
      </c>
      <c r="I30" s="8">
        <f>IFERROR(VLOOKUP(LEFT($B30,6)&amp;"*",[2]可交债!$A:$H,5,FALSE),"")</f>
        <v>0.1</v>
      </c>
      <c r="J30" s="8">
        <f>IFERROR(VLOOKUP(LEFT($B30,6)&amp;"*",[2]可交债!$A:$H,6,FALSE),"")</f>
        <v>9</v>
      </c>
      <c r="K30" s="8">
        <f>IFERROR(VLOOKUP(LEFT($B30,6)&amp;"*",[2]可交债!$A:$H,7,FALSE),"")</f>
        <v>121.200000000000003</v>
      </c>
      <c r="L30" s="8">
        <f>IFERROR(VLOOKUP(LEFT($B30,6)&amp;"*",[2]可交债!$A:$H,8,FALSE),"")</f>
        <v>53.140000000000001</v>
      </c>
      <c r="M30" s="8">
        <f>IFERROR(VLOOKUP(LEFT($B30,6),[4]中证可交换债券估值!$A:$H,5,FALSE),"")</f>
        <v>103.862899999999996</v>
      </c>
      <c r="N30" s="8">
        <f>IFERROR(VLOOKUP(LEFT($B30,6),[4]中证可交换债券估值!$A:$H,6,FALSE),"")</f>
        <v>0.6364</v>
      </c>
      <c r="O30" s="5">
        <f>IFERROR(VLOOKUP(LEFT($B30,6),[4]中证可交换债券估值!$A:$H,7,FALSE),"")</f>
        <v>103.226500000000001</v>
      </c>
    </row>
    <row r="31">
      <c r="A31" s="0" t="str">
        <f>TEXT([1]sheet1!$B$3,"yyyy-mm-dd")</f>
        <v>2026-08-17</v>
      </c>
      <c r="B31" s="0" t="str">
        <f>IF(LEN(TRIM([2]可交债!A30))=6,TRIM([2]可交债!A30)&amp;".SZ",TRIM([2]可交债!A30))</f>
        <v>117246.SZ</v>
      </c>
      <c r="C31" s="0" t="str">
        <f>IFERROR(VLOOKUP(LEFT($B31,6)&amp;"*",[2]可交债!$A:$H,2,FALSE),"")</f>
        <v>25盛虹EB</v>
      </c>
      <c r="D31" s="0" t="str">
        <f>IFERROR(VLOOKUP(LEFT($B31,6)&amp;"*",[2]可交债!$A:$H,3,FALSE),"")</f>
        <v>000301.SZ</v>
      </c>
      <c r="E31" s="0" t="str">
        <f>IFERROR(VLOOKUP(LEFT($B31,6)&amp;"*",[2]可交债!$A:$H,4,FALSE),"")</f>
        <v>东方盛虹</v>
      </c>
      <c r="F31" s="7">
        <f>SUMPRODUCT((LEFT(TRIM('[3]现券交易信息（逐笔）'!$B$2:$B$500),6)=LEFT($B31,6))*(IFERROR(--SUBSTITUTE('[3]现券交易信息（逐笔）'!$G$2:$G$500,",",""),0)))+SUMIF([1]sheet1!$D$2:$D$500,LEFT($B31,6)&amp;"*",[1]sheet1!$M$2:$M$500)</f>
        <v>0</v>
      </c>
      <c r="G31" s="7">
        <f>SUMPRODUCT((LEFT(TRIM('[3]现券交易信息（逐笔）'!$B$2:$B$500),6)=LEFT($B31,6))*(IFERROR(--SUBSTITUTE('[3]现券交易信息（逐笔）'!$F$2:$F$500,",",""),0)*100))+SUMIF([1]sheet1!$D$2:$D$500,LEFT($B31,6)&amp;"*",[1]sheet1!$L$2:$L$500)*100</f>
        <v>0</v>
      </c>
      <c r="H31" s="7" t="str">
        <f>IF(G31=0,"",ROUND(F31*10000/G31,4))</f>
        <v/>
      </c>
      <c r="I31" s="8">
        <f>IFERROR(VLOOKUP(LEFT($B31,6)&amp;"*",[2]可交债!$A:$H,5,FALSE),"")</f>
        <v>0.1</v>
      </c>
      <c r="J31" s="8">
        <f>IFERROR(VLOOKUP(LEFT($B31,6)&amp;"*",[2]可交债!$A:$H,6,FALSE),"")</f>
        <v>5</v>
      </c>
      <c r="K31" s="8">
        <f>IFERROR(VLOOKUP(LEFT($B31,6)&amp;"*",[2]可交债!$A:$H,7,FALSE),"")</f>
        <v>12.5</v>
      </c>
      <c r="L31" s="8">
        <f>IFERROR(VLOOKUP(LEFT($B31,6)&amp;"*",[2]可交债!$A:$H,8,FALSE),"")</f>
        <v>12.66</v>
      </c>
      <c r="M31" s="8">
        <f>IFERROR(VLOOKUP(LEFT($B31,6),[4]中证可交换债券估值!$A:$H,5,FALSE),"")</f>
        <v>111.486199999999997</v>
      </c>
      <c r="N31" s="8">
        <f>IFERROR(VLOOKUP(LEFT($B31,6),[4]中证可交换债券估值!$A:$H,6,FALSE),"")</f>
        <v>10.5465</v>
      </c>
      <c r="O31" s="5">
        <f>IFERROR(VLOOKUP(LEFT($B31,6),[4]中证可交换债券估值!$A:$H,7,FALSE),"")</f>
        <v>100.939700000000002</v>
      </c>
    </row>
    <row r="32">
      <c r="A32" s="0" t="str">
        <f>TEXT([1]sheet1!B4,"yyyy-mm-dd")</f>
        <v>2026-08-17</v>
      </c>
      <c r="B32" s="0" t="str">
        <f>IF(LEN(TRIM([1]sheet1!D4))=6,TRIM([1]sheet1!D4)&amp;".SZ",TRIM([1]sheet1!D4))</f>
        <v>137194.SH</v>
      </c>
      <c r="C32" s="0" t="str">
        <f>IFERROR(VLOOKUP(LEFT($B32,6)&amp;"*",[2]可交债!$A:$H,2,FALSE),"")</f>
        <v>25蜀道EB</v>
      </c>
      <c r="D32" s="0" t="str">
        <f>IFERROR(VLOOKUP(LEFT($B32,6)&amp;"*",[2]可交债!$A:$H,3,FALSE),"")</f>
        <v>600039.SH</v>
      </c>
      <c r="E32" s="0" t="str">
        <f>IFERROR(VLOOKUP(LEFT($B32,6)&amp;"*",[2]可交债!$A:$H,4,FALSE),"")</f>
        <v>四川路桥</v>
      </c>
      <c r="F32" s="7">
        <f>[1]sheet1!M4</f>
        <v>1120</v>
      </c>
      <c r="G32" s="7">
        <f>[1]sheet1!L4*100</f>
        <v>100000</v>
      </c>
      <c r="H32" s="7">
        <f>IF(G32=0,"",ROUND(F32*10000/G32,4))</f>
        <v>112</v>
      </c>
      <c r="I32" s="8">
        <f>IFERROR(VLOOKUP(LEFT($B32,6)&amp;"*",[2]可交债!$A:$H,5,FALSE),"")</f>
        <v>0.01</v>
      </c>
      <c r="J32" s="8">
        <f>IFERROR(VLOOKUP(LEFT($B32,6)&amp;"*",[2]可交债!$A:$H,6,FALSE),"")</f>
        <v>3</v>
      </c>
      <c r="K32" s="8">
        <f>IFERROR(VLOOKUP(LEFT($B32,6)&amp;"*",[2]可交债!$A:$H,7,FALSE),"")</f>
        <v>8.130000000000001</v>
      </c>
      <c r="L32" s="8">
        <f>IFERROR(VLOOKUP(LEFT($B32,6)&amp;"*",[2]可交债!$A:$H,8,FALSE),"")</f>
        <v>8.470000000000001</v>
      </c>
      <c r="M32" s="8">
        <f>IFERROR(VLOOKUP(LEFT($B32,6),[4]中证可交换债券估值!$A:$H,5,FALSE),"")</f>
        <v>111.356999999999999</v>
      </c>
      <c r="N32" s="8">
        <f>IFERROR(VLOOKUP(LEFT($B32,6),[4]中证可交换债券估值!$A:$H,6,FALSE),"")</f>
        <v>11.1127</v>
      </c>
      <c r="O32" s="5">
        <f>IFERROR(VLOOKUP(LEFT($B32,6),[4]中证可交换债券估值!$A:$H,7,FALSE),"")</f>
        <v>100.244299999999996</v>
      </c>
    </row>
    <row r="33">
      <c r="A33" s="0" t="str">
        <f>TEXT([1]sheet1!B5,"yyyy-mm-dd")</f>
        <v>2026-08-17</v>
      </c>
      <c r="B33" s="0" t="str">
        <f>IF(LEN(TRIM([1]sheet1!D5))=6,TRIM([1]sheet1!D5)&amp;".SZ",TRIM([1]sheet1!D5))</f>
        <v>137194.SH</v>
      </c>
      <c r="C33" s="0" t="str">
        <f>IFERROR(VLOOKUP(LEFT($B33,6)&amp;"*",[2]可交债!$A:$H,2,FALSE),"")</f>
        <v>25蜀道EB</v>
      </c>
      <c r="D33" s="0" t="str">
        <f>IFERROR(VLOOKUP(LEFT($B33,6)&amp;"*",[2]可交债!$A:$H,3,FALSE),"")</f>
        <v>600039.SH</v>
      </c>
      <c r="E33" s="0" t="str">
        <f>IFERROR(VLOOKUP(LEFT($B33,6)&amp;"*",[2]可交债!$A:$H,4,FALSE),"")</f>
        <v>四川路桥</v>
      </c>
      <c r="F33" s="7">
        <f>[1]sheet1!M5</f>
        <v>336.149999999999977</v>
      </c>
      <c r="G33" s="7">
        <f>[1]sheet1!L5*100</f>
        <v>30000</v>
      </c>
      <c r="H33" s="7">
        <f>IF(G33=0,"",ROUND(F33*10000/G33,4))</f>
        <v>112.049999999999997</v>
      </c>
      <c r="I33" s="8">
        <f>IFERROR(VLOOKUP(LEFT($B33,6)&amp;"*",[2]可交债!$A:$H,5,FALSE),"")</f>
        <v>0.01</v>
      </c>
      <c r="J33" s="8">
        <f>IFERROR(VLOOKUP(LEFT($B33,6)&amp;"*",[2]可交债!$A:$H,6,FALSE),"")</f>
        <v>3</v>
      </c>
      <c r="K33" s="8">
        <f>IFERROR(VLOOKUP(LEFT($B33,6)&amp;"*",[2]可交债!$A:$H,7,FALSE),"")</f>
        <v>8.130000000000001</v>
      </c>
      <c r="L33" s="8">
        <f>IFERROR(VLOOKUP(LEFT($B33,6)&amp;"*",[2]可交债!$A:$H,8,FALSE),"")</f>
        <v>8.470000000000001</v>
      </c>
      <c r="M33" s="8">
        <f>IFERROR(VLOOKUP(LEFT($B33,6),[4]中证可交换债券估值!$A:$H,5,FALSE),"")</f>
        <v>111.356999999999999</v>
      </c>
      <c r="N33" s="8">
        <f>IFERROR(VLOOKUP(LEFT($B33,6),[4]中证可交换债券估值!$A:$H,6,FALSE),"")</f>
        <v>11.1127</v>
      </c>
      <c r="O33" s="5">
        <f>IFERROR(VLOOKUP(LEFT($B33,6),[4]中证可交换债券估值!$A:$H,7,FALSE),"")</f>
        <v>100.244299999999996</v>
      </c>
    </row>
    <row r="34">
      <c r="A34" s="0" t="str">
        <f>TEXT([1]sheet1!B6,"yyyy-mm-dd")</f>
        <v>2026-08-17</v>
      </c>
      <c r="B34" s="0" t="str">
        <f>IF(LEN(TRIM([1]sheet1!D6))=6,TRIM([1]sheet1!D6)&amp;".SZ",TRIM([1]sheet1!D6))</f>
        <v>137194.SH</v>
      </c>
      <c r="C34" s="0" t="str">
        <f>IFERROR(VLOOKUP(LEFT($B34,6)&amp;"*",[2]可交债!$A:$H,2,FALSE),"")</f>
        <v>25蜀道EB</v>
      </c>
      <c r="D34" s="0" t="str">
        <f>IFERROR(VLOOKUP(LEFT($B34,6)&amp;"*",[2]可交债!$A:$H,3,FALSE),"")</f>
        <v>600039.SH</v>
      </c>
      <c r="E34" s="0" t="str">
        <f>IFERROR(VLOOKUP(LEFT($B34,6)&amp;"*",[2]可交债!$A:$H,4,FALSE),"")</f>
        <v>四川路桥</v>
      </c>
      <c r="F34" s="7">
        <f>[1]sheet1!M6</f>
        <v>336.149999999999977</v>
      </c>
      <c r="G34" s="7">
        <f>[1]sheet1!L6*100</f>
        <v>30000</v>
      </c>
      <c r="H34" s="7">
        <f>IF(G34=0,"",ROUND(F34*10000/G34,4))</f>
        <v>112.049999999999997</v>
      </c>
      <c r="I34" s="8">
        <f>IFERROR(VLOOKUP(LEFT($B34,6)&amp;"*",[2]可交债!$A:$H,5,FALSE),"")</f>
        <v>0.01</v>
      </c>
      <c r="J34" s="8">
        <f>IFERROR(VLOOKUP(LEFT($B34,6)&amp;"*",[2]可交债!$A:$H,6,FALSE),"")</f>
        <v>3</v>
      </c>
      <c r="K34" s="8">
        <f>IFERROR(VLOOKUP(LEFT($B34,6)&amp;"*",[2]可交债!$A:$H,7,FALSE),"")</f>
        <v>8.130000000000001</v>
      </c>
      <c r="L34" s="8">
        <f>IFERROR(VLOOKUP(LEFT($B34,6)&amp;"*",[2]可交债!$A:$H,8,FALSE),"")</f>
        <v>8.470000000000001</v>
      </c>
      <c r="M34" s="8">
        <f>IFERROR(VLOOKUP(LEFT($B34,6),[4]中证可交换债券估值!$A:$H,5,FALSE),"")</f>
        <v>111.356999999999999</v>
      </c>
      <c r="N34" s="8">
        <f>IFERROR(VLOOKUP(LEFT($B34,6),[4]中证可交换债券估值!$A:$H,6,FALSE),"")</f>
        <v>11.1127</v>
      </c>
      <c r="O34" s="5">
        <f>IFERROR(VLOOKUP(LEFT($B34,6),[4]中证可交换债券估值!$A:$H,7,FALSE),"")</f>
        <v>100.244299999999996</v>
      </c>
    </row>
    <row r="35">
      <c r="A35" s="0" t="str">
        <f>TEXT([1]sheet1!B7,"yyyy-mm-dd")</f>
        <v>2026-08-17</v>
      </c>
      <c r="B35" s="0" t="str">
        <f>IF(LEN(TRIM([1]sheet1!D7))=6,TRIM([1]sheet1!D7)&amp;".SZ",TRIM([1]sheet1!D7))</f>
        <v>137194.SH</v>
      </c>
      <c r="C35" s="0" t="str">
        <f>IFERROR(VLOOKUP(LEFT($B35,6)&amp;"*",[2]可交债!$A:$H,2,FALSE),"")</f>
        <v>25蜀道EB</v>
      </c>
      <c r="D35" s="0" t="str">
        <f>IFERROR(VLOOKUP(LEFT($B35,6)&amp;"*",[2]可交债!$A:$H,3,FALSE),"")</f>
        <v>600039.SH</v>
      </c>
      <c r="E35" s="0" t="str">
        <f>IFERROR(VLOOKUP(LEFT($B35,6)&amp;"*",[2]可交债!$A:$H,4,FALSE),"")</f>
        <v>四川路桥</v>
      </c>
      <c r="F35" s="7">
        <f>[1]sheet1!M7</f>
        <v>448.199999999999989</v>
      </c>
      <c r="G35" s="7">
        <f>[1]sheet1!L7*100</f>
        <v>40000</v>
      </c>
      <c r="H35" s="7">
        <f>IF(G35=0,"",ROUND(F35*10000/G35,4))</f>
        <v>112.049999999999997</v>
      </c>
      <c r="I35" s="8">
        <f>IFERROR(VLOOKUP(LEFT($B35,6)&amp;"*",[2]可交债!$A:$H,5,FALSE),"")</f>
        <v>0.01</v>
      </c>
      <c r="J35" s="8">
        <f>IFERROR(VLOOKUP(LEFT($B35,6)&amp;"*",[2]可交债!$A:$H,6,FALSE),"")</f>
        <v>3</v>
      </c>
      <c r="K35" s="8">
        <f>IFERROR(VLOOKUP(LEFT($B35,6)&amp;"*",[2]可交债!$A:$H,7,FALSE),"")</f>
        <v>8.130000000000001</v>
      </c>
      <c r="L35" s="8">
        <f>IFERROR(VLOOKUP(LEFT($B35,6)&amp;"*",[2]可交债!$A:$H,8,FALSE),"")</f>
        <v>8.470000000000001</v>
      </c>
      <c r="M35" s="8">
        <f>IFERROR(VLOOKUP(LEFT($B35,6),[4]中证可交换债券估值!$A:$H,5,FALSE),"")</f>
        <v>111.356999999999999</v>
      </c>
      <c r="N35" s="8">
        <f>IFERROR(VLOOKUP(LEFT($B35,6),[4]中证可交换债券估值!$A:$H,6,FALSE),"")</f>
        <v>11.1127</v>
      </c>
      <c r="O35" s="5">
        <f>IFERROR(VLOOKUP(LEFT($B35,6),[4]中证可交换债券估值!$A:$H,7,FALSE),"")</f>
        <v>100.244299999999996</v>
      </c>
    </row>
    <row r="36">
      <c r="A36" s="0" t="str">
        <f>TEXT([1]sheet1!$B$3,"yyyy-mm-dd")</f>
        <v>2026-08-17</v>
      </c>
      <c r="B36" s="0" t="str">
        <f>IF(LEN(TRIM([2]可交债!A32))=6,TRIM([2]可交债!A32)&amp;".SZ",TRIM([2]可交债!A32))</f>
        <v>117236.SZ</v>
      </c>
      <c r="C36" s="0" t="str">
        <f>IFERROR(VLOOKUP(LEFT($B36,6)&amp;"*",[2]可交债!$A:$H,2,FALSE),"")</f>
        <v>25顺控KEB1</v>
      </c>
      <c r="D36" s="0" t="str">
        <f>IFERROR(VLOOKUP(LEFT($B36,6)&amp;"*",[2]可交债!$A:$H,3,FALSE),"")</f>
        <v>003039.SZ</v>
      </c>
      <c r="E36" s="0" t="str">
        <f>IFERROR(VLOOKUP(LEFT($B36,6)&amp;"*",[2]可交债!$A:$H,4,FALSE),"")</f>
        <v>顺控发展</v>
      </c>
      <c r="F36" s="7">
        <f>SUMPRODUCT((LEFT(TRIM('[3]现券交易信息（逐笔）'!$B$2:$B$500),6)=LEFT($B36,6))*(IFERROR(--SUBSTITUTE('[3]现券交易信息（逐笔）'!$G$2:$G$500,",",""),0)))+SUMIF([1]sheet1!$D$2:$D$500,LEFT($B36,6)&amp;"*",[1]sheet1!$M$2:$M$500)</f>
        <v>0</v>
      </c>
      <c r="G36" s="7">
        <f>SUMPRODUCT((LEFT(TRIM('[3]现券交易信息（逐笔）'!$B$2:$B$500),6)=LEFT($B36,6))*(IFERROR(--SUBSTITUTE('[3]现券交易信息（逐笔）'!$F$2:$F$500,",",""),0)*100))+SUMIF([1]sheet1!$D$2:$D$500,LEFT($B36,6)&amp;"*",[1]sheet1!$L$2:$L$500)*100</f>
        <v>0</v>
      </c>
      <c r="H36" s="7" t="str">
        <f>IF(G36=0,"",ROUND(F36*10000/G36,4))</f>
        <v/>
      </c>
      <c r="I36" s="8">
        <f>IFERROR(VLOOKUP(LEFT($B36,6)&amp;"*",[2]可交债!$A:$H,5,FALSE),"")</f>
        <v>0.01</v>
      </c>
      <c r="J36" s="8">
        <f>IFERROR(VLOOKUP(LEFT($B36,6)&amp;"*",[2]可交债!$A:$H,6,FALSE),"")</f>
        <v>3</v>
      </c>
      <c r="K36" s="8">
        <f>IFERROR(VLOOKUP(LEFT($B36,6)&amp;"*",[2]可交债!$A:$H,7,FALSE),"")</f>
        <v>14.57</v>
      </c>
      <c r="L36" s="8">
        <f>IFERROR(VLOOKUP(LEFT($B36,6)&amp;"*",[2]可交债!$A:$H,8,FALSE),"")</f>
        <v>11.91</v>
      </c>
      <c r="M36" s="8">
        <f>IFERROR(VLOOKUP(LEFT($B36,6),[4]中证可交换债券估值!$A:$H,5,FALSE),"")</f>
        <v>105.152699999999996</v>
      </c>
      <c r="N36" s="8">
        <f>IFERROR(VLOOKUP(LEFT($B36,6),[4]中证可交换债券估值!$A:$H,6,FALSE),"")</f>
        <v>5.2343</v>
      </c>
      <c r="O36" s="5">
        <f>IFERROR(VLOOKUP(LEFT($B36,6),[4]中证可交换债券估值!$A:$H,7,FALSE),"")</f>
        <v>99.918400000000005</v>
      </c>
    </row>
    <row r="37">
      <c r="A37" s="0" t="str">
        <f>TEXT([1]sheet1!$B$3,"yyyy-mm-dd")</f>
        <v>2026-08-17</v>
      </c>
      <c r="B37" s="0" t="str">
        <f>IF(LEN(TRIM([2]可交债!A33))=6,TRIM([2]可交债!A33)&amp;".SZ",TRIM([2]可交债!A33))</f>
        <v>117244.SZ</v>
      </c>
      <c r="C37" s="0" t="str">
        <f>IFERROR(VLOOKUP(LEFT($B37,6)&amp;"*",[2]可交债!$A:$H,2,FALSE),"")</f>
        <v>25顺控KEB2</v>
      </c>
      <c r="D37" s="0" t="str">
        <f>IFERROR(VLOOKUP(LEFT($B37,6)&amp;"*",[2]可交债!$A:$H,3,FALSE),"")</f>
        <v>003039.SZ</v>
      </c>
      <c r="E37" s="0" t="str">
        <f>IFERROR(VLOOKUP(LEFT($B37,6)&amp;"*",[2]可交债!$A:$H,4,FALSE),"")</f>
        <v>顺控发展</v>
      </c>
      <c r="F37" s="7">
        <f>SUMPRODUCT((LEFT(TRIM('[3]现券交易信息（逐笔）'!$B$2:$B$500),6)=LEFT($B37,6))*(IFERROR(--SUBSTITUTE('[3]现券交易信息（逐笔）'!$G$2:$G$500,",",""),0)))+SUMIF([1]sheet1!$D$2:$D$500,LEFT($B37,6)&amp;"*",[1]sheet1!$M$2:$M$500)</f>
        <v>0</v>
      </c>
      <c r="G37" s="7">
        <f>SUMPRODUCT((LEFT(TRIM('[3]现券交易信息（逐笔）'!$B$2:$B$500),6)=LEFT($B37,6))*(IFERROR(--SUBSTITUTE('[3]现券交易信息（逐笔）'!$F$2:$F$500,",",""),0)*100))+SUMIF([1]sheet1!$D$2:$D$500,LEFT($B37,6)&amp;"*",[1]sheet1!$L$2:$L$500)*100</f>
        <v>0</v>
      </c>
      <c r="H37" s="7" t="str">
        <f>IF(G37=0,"",ROUND(F37*10000/G37,4))</f>
        <v/>
      </c>
      <c r="I37" s="8">
        <f>IFERROR(VLOOKUP(LEFT($B37,6)&amp;"*",[2]可交债!$A:$H,5,FALSE),"")</f>
        <v>0.01</v>
      </c>
      <c r="J37" s="8">
        <f>IFERROR(VLOOKUP(LEFT($B37,6)&amp;"*",[2]可交债!$A:$H,6,FALSE),"")</f>
        <v>3</v>
      </c>
      <c r="K37" s="8">
        <f>IFERROR(VLOOKUP(LEFT($B37,6)&amp;"*",[2]可交债!$A:$H,7,FALSE),"")</f>
        <v>14.869999999999999</v>
      </c>
      <c r="L37" s="8">
        <f>IFERROR(VLOOKUP(LEFT($B37,6)&amp;"*",[2]可交债!$A:$H,8,FALSE),"")</f>
        <v>11.91</v>
      </c>
      <c r="M37" s="8">
        <f>IFERROR(VLOOKUP(LEFT($B37,6),[4]中证可交换债券估值!$A:$H,5,FALSE),"")</f>
        <v>109.330200000000005</v>
      </c>
      <c r="N37" s="8">
        <f>IFERROR(VLOOKUP(LEFT($B37,6),[4]中证可交换债券估值!$A:$H,6,FALSE),"")</f>
        <v>10.0944</v>
      </c>
      <c r="O37" s="5">
        <f>IFERROR(VLOOKUP(LEFT($B37,6),[4]中证可交换债券估值!$A:$H,7,FALSE),"")</f>
        <v>99.235799999999998</v>
      </c>
    </row>
    <row r="38">
      <c r="A38" s="0" t="str">
        <f>TEXT([1]sheet1!$B$3,"yyyy-mm-dd")</f>
        <v>2026-08-17</v>
      </c>
      <c r="B38" s="0" t="str">
        <f>IF(LEN(TRIM([2]可交债!A34))=6,TRIM([2]可交债!A34)&amp;".SZ",TRIM([2]可交债!A34))</f>
        <v>117237.SZ</v>
      </c>
      <c r="C38" s="0" t="str">
        <f>IFERROR(VLOOKUP(LEFT($B38,6)&amp;"*",[2]可交债!$A:$H,2,FALSE),"")</f>
        <v>25万安EB</v>
      </c>
      <c r="D38" s="0" t="str">
        <f>IFERROR(VLOOKUP(LEFT($B38,6)&amp;"*",[2]可交债!$A:$H,3,FALSE),"")</f>
        <v>002590.SZ</v>
      </c>
      <c r="E38" s="0" t="str">
        <f>IFERROR(VLOOKUP(LEFT($B38,6)&amp;"*",[2]可交债!$A:$H,4,FALSE),"")</f>
        <v>万安科技</v>
      </c>
      <c r="F38" s="7">
        <f>SUMPRODUCT((LEFT(TRIM('[3]现券交易信息（逐笔）'!$B$2:$B$500),6)=LEFT($B38,6))*(IFERROR(--SUBSTITUTE('[3]现券交易信息（逐笔）'!$G$2:$G$500,",",""),0)))+SUMIF([1]sheet1!$D$2:$D$500,LEFT($B38,6)&amp;"*",[1]sheet1!$M$2:$M$500)</f>
        <v>0</v>
      </c>
      <c r="G38" s="7">
        <f>SUMPRODUCT((LEFT(TRIM('[3]现券交易信息（逐笔）'!$B$2:$B$500),6)=LEFT($B38,6))*(IFERROR(--SUBSTITUTE('[3]现券交易信息（逐笔）'!$F$2:$F$500,",",""),0)*100))+SUMIF([1]sheet1!$D$2:$D$500,LEFT($B38,6)&amp;"*",[1]sheet1!$L$2:$L$500)*100</f>
        <v>0</v>
      </c>
      <c r="H38" s="7" t="str">
        <f>IF(G38=0,"",ROUND(F38*10000/G38,4))</f>
        <v/>
      </c>
      <c r="I38" s="8">
        <f>IFERROR(VLOOKUP(LEFT($B38,6)&amp;"*",[2]可交债!$A:$H,5,FALSE),"")</f>
        <v>0.1</v>
      </c>
      <c r="J38" s="8">
        <f>IFERROR(VLOOKUP(LEFT($B38,6)&amp;"*",[2]可交债!$A:$H,6,FALSE),"")</f>
        <v>3</v>
      </c>
      <c r="K38" s="8">
        <f>IFERROR(VLOOKUP(LEFT($B38,6)&amp;"*",[2]可交债!$A:$H,7,FALSE),"")</f>
        <v>16.719999999999999</v>
      </c>
      <c r="L38" s="8">
        <f>IFERROR(VLOOKUP(LEFT($B38,6)&amp;"*",[2]可交债!$A:$H,8,FALSE),"")</f>
        <v>9.550000000000001</v>
      </c>
      <c r="M38" s="8">
        <f>IFERROR(VLOOKUP(LEFT($B38,6),[4]中证可交换债券估值!$A:$H,5,FALSE),"")</f>
        <v>101.520600000000002</v>
      </c>
      <c r="N38" s="8">
        <f>IFERROR(VLOOKUP(LEFT($B38,6),[4]中证可交换债券估值!$A:$H,6,FALSE),"")</f>
        <v>2.6149</v>
      </c>
      <c r="O38" s="5">
        <f>IFERROR(VLOOKUP(LEFT($B38,6),[4]中证可交换债券估值!$A:$H,7,FALSE),"")</f>
        <v>98.905699999999996</v>
      </c>
    </row>
    <row r="39">
      <c r="A39" s="0" t="str">
        <f>TEXT([1]sheet1!$B$3,"yyyy-mm-dd")</f>
        <v>2026-08-17</v>
      </c>
      <c r="B39" s="0" t="str">
        <f>IF(LEN(TRIM([2]可交债!A35))=6,TRIM([2]可交债!A35)&amp;".SZ",TRIM([2]可交债!A35))</f>
        <v>117241.SZ</v>
      </c>
      <c r="C39" s="0" t="str">
        <f>IFERROR(VLOOKUP(LEFT($B39,6)&amp;"*",[2]可交债!$A:$H,2,FALSE),"")</f>
        <v>25新华都EB01</v>
      </c>
      <c r="D39" s="0" t="str">
        <f>IFERROR(VLOOKUP(LEFT($B39,6)&amp;"*",[2]可交债!$A:$H,3,FALSE),"")</f>
        <v>000538.SZ</v>
      </c>
      <c r="E39" s="0" t="str">
        <f>IFERROR(VLOOKUP(LEFT($B39,6)&amp;"*",[2]可交债!$A:$H,4,FALSE),"")</f>
        <v>云南白药</v>
      </c>
      <c r="F39" s="7">
        <f>SUMPRODUCT((LEFT(TRIM('[3]现券交易信息（逐笔）'!$B$2:$B$500),6)=LEFT($B39,6))*(IFERROR(--SUBSTITUTE('[3]现券交易信息（逐笔）'!$G$2:$G$500,",",""),0)))+SUMIF([1]sheet1!$D$2:$D$500,LEFT($B39,6)&amp;"*",[1]sheet1!$M$2:$M$500)</f>
        <v>0</v>
      </c>
      <c r="G39" s="7">
        <f>SUMPRODUCT((LEFT(TRIM('[3]现券交易信息（逐笔）'!$B$2:$B$500),6)=LEFT($B39,6))*(IFERROR(--SUBSTITUTE('[3]现券交易信息（逐笔）'!$F$2:$F$500,",",""),0)*100))+SUMIF([1]sheet1!$D$2:$D$500,LEFT($B39,6)&amp;"*",[1]sheet1!$L$2:$L$500)*100</f>
        <v>0</v>
      </c>
      <c r="H39" s="7" t="str">
        <f>IF(G39=0,"",ROUND(F39*10000/G39,4))</f>
        <v/>
      </c>
      <c r="I39" s="8">
        <f>IFERROR(VLOOKUP(LEFT($B39,6)&amp;"*",[2]可交债!$A:$H,5,FALSE),"")</f>
        <v>0.1</v>
      </c>
      <c r="J39" s="8">
        <f>IFERROR(VLOOKUP(LEFT($B39,6)&amp;"*",[2]可交债!$A:$H,6,FALSE),"")</f>
        <v>6</v>
      </c>
      <c r="K39" s="8">
        <f>IFERROR(VLOOKUP(LEFT($B39,6)&amp;"*",[2]可交债!$A:$H,7,FALSE),"")</f>
        <v>70.079999999999998</v>
      </c>
      <c r="L39" s="8">
        <f>IFERROR(VLOOKUP(LEFT($B39,6)&amp;"*",[2]可交债!$A:$H,8,FALSE),"")</f>
        <v>49.799999999999997</v>
      </c>
      <c r="M39" s="8">
        <f>IFERROR(VLOOKUP(LEFT($B39,6),[4]中证可交换债券估值!$A:$H,5,FALSE),"")</f>
        <v>104.760000000000005</v>
      </c>
      <c r="N39" s="8">
        <f>IFERROR(VLOOKUP(LEFT($B39,6),[4]中证可交换债券估值!$A:$H,6,FALSE),"")</f>
        <v>2.3141</v>
      </c>
      <c r="O39" s="5">
        <f>IFERROR(VLOOKUP(LEFT($B39,6),[4]中证可交换债券估值!$A:$H,7,FALSE),"")</f>
        <v>102.445899999999995</v>
      </c>
    </row>
    <row r="40">
      <c r="A40" s="0" t="str">
        <f>TEXT([1]sheet1!$B$3,"yyyy-mm-dd")</f>
        <v>2026-08-17</v>
      </c>
      <c r="B40" s="0" t="str">
        <f>IF(LEN(TRIM([2]可交债!A36))=6,TRIM([2]可交债!A36)&amp;".SZ",TRIM([2]可交债!A36))</f>
        <v>117240.SZ</v>
      </c>
      <c r="C40" s="0" t="str">
        <f>IFERROR(VLOOKUP(LEFT($B40,6)&amp;"*",[2]可交债!$A:$H,2,FALSE),"")</f>
        <v>25粤能源EB</v>
      </c>
      <c r="D40" s="0" t="str">
        <f>IFERROR(VLOOKUP(LEFT($B40,6)&amp;"*",[2]可交债!$A:$H,3,FALSE),"")</f>
        <v>000539.SZ</v>
      </c>
      <c r="E40" s="0" t="str">
        <f>IFERROR(VLOOKUP(LEFT($B40,6)&amp;"*",[2]可交债!$A:$H,4,FALSE),"")</f>
        <v>粤电力A</v>
      </c>
      <c r="F40" s="7">
        <f>SUMPRODUCT((LEFT(TRIM('[3]现券交易信息（逐笔）'!$B$2:$B$500),6)=LEFT($B40,6))*(IFERROR(--SUBSTITUTE('[3]现券交易信息（逐笔）'!$G$2:$G$500,",",""),0)))+SUMIF([1]sheet1!$D$2:$D$500,LEFT($B40,6)&amp;"*",[1]sheet1!$M$2:$M$500)</f>
        <v>0</v>
      </c>
      <c r="G40" s="7">
        <f>SUMPRODUCT((LEFT(TRIM('[3]现券交易信息（逐笔）'!$B$2:$B$500),6)=LEFT($B40,6))*(IFERROR(--SUBSTITUTE('[3]现券交易信息（逐笔）'!$F$2:$F$500,",",""),0)*100))+SUMIF([1]sheet1!$D$2:$D$500,LEFT($B40,6)&amp;"*",[1]sheet1!$L$2:$L$500)*100</f>
        <v>0</v>
      </c>
      <c r="H40" s="7" t="str">
        <f>IF(G40=0,"",ROUND(F40*10000/G40,4))</f>
        <v/>
      </c>
      <c r="I40" s="8">
        <f>IFERROR(VLOOKUP(LEFT($B40,6)&amp;"*",[2]可交债!$A:$H,5,FALSE),"")</f>
        <v>0.01</v>
      </c>
      <c r="J40" s="8">
        <f>IFERROR(VLOOKUP(LEFT($B40,6)&amp;"*",[2]可交债!$A:$H,6,FALSE),"")</f>
        <v>1.5</v>
      </c>
      <c r="K40" s="8">
        <f>IFERROR(VLOOKUP(LEFT($B40,6)&amp;"*",[2]可交债!$A:$H,7,FALSE),"")</f>
        <v>7.19</v>
      </c>
      <c r="L40" s="8">
        <f>IFERROR(VLOOKUP(LEFT($B40,6)&amp;"*",[2]可交债!$A:$H,8,FALSE),"")</f>
        <v>5.64</v>
      </c>
      <c r="M40" s="8">
        <f>IFERROR(VLOOKUP(LEFT($B40,6),[4]中证可交换债券估值!$A:$H,5,FALSE),"")</f>
        <v>106.476399999999998</v>
      </c>
      <c r="N40" s="8">
        <f>IFERROR(VLOOKUP(LEFT($B40,6),[4]中证可交换债券估值!$A:$H,6,FALSE),"")</f>
        <v>8.3727</v>
      </c>
      <c r="O40" s="5">
        <f>IFERROR(VLOOKUP(LEFT($B40,6),[4]中证可交换债券估值!$A:$H,7,FALSE),"")</f>
        <v>98.103700000000003</v>
      </c>
    </row>
    <row r="41">
      <c r="A41" s="0" t="str">
        <f>TEXT([1]sheet1!$B$3,"yyyy-mm-dd")</f>
        <v>2026-08-17</v>
      </c>
      <c r="B41" s="0" t="str">
        <f>IF(LEN(TRIM([2]可交债!A37))=6,TRIM([2]可交债!A37)&amp;".SZ",TRIM([2]可交债!A37))</f>
        <v>117230.SZ</v>
      </c>
      <c r="C41" s="0" t="str">
        <f>IFERROR(VLOOKUP(LEFT($B41,6)&amp;"*",[2]可交债!$A:$H,2,FALSE),"")</f>
        <v>25云化KEB</v>
      </c>
      <c r="D41" s="0" t="str">
        <f>IFERROR(VLOOKUP(LEFT($B41,6)&amp;"*",[2]可交债!$A:$H,3,FALSE),"")</f>
        <v>002053.SZ</v>
      </c>
      <c r="E41" s="0" t="str">
        <f>IFERROR(VLOOKUP(LEFT($B41,6)&amp;"*",[2]可交债!$A:$H,4,FALSE),"")</f>
        <v>云南能投</v>
      </c>
      <c r="F41" s="7">
        <f>SUMPRODUCT((LEFT(TRIM('[3]现券交易信息（逐笔）'!$B$2:$B$500),6)=LEFT($B41,6))*(IFERROR(--SUBSTITUTE('[3]现券交易信息（逐笔）'!$G$2:$G$500,",",""),0)))+SUMIF([1]sheet1!$D$2:$D$500,LEFT($B41,6)&amp;"*",[1]sheet1!$M$2:$M$500)</f>
        <v>0</v>
      </c>
      <c r="G41" s="7">
        <f>SUMPRODUCT((LEFT(TRIM('[3]现券交易信息（逐笔）'!$B$2:$B$500),6)=LEFT($B41,6))*(IFERROR(--SUBSTITUTE('[3]现券交易信息（逐笔）'!$F$2:$F$500,",",""),0)*100))+SUMIF([1]sheet1!$D$2:$D$500,LEFT($B41,6)&amp;"*",[1]sheet1!$L$2:$L$500)*100</f>
        <v>0</v>
      </c>
      <c r="H41" s="7" t="str">
        <f>IF(G41=0,"",ROUND(F41*10000/G41,4))</f>
        <v/>
      </c>
      <c r="I41" s="8">
        <f>IFERROR(VLOOKUP(LEFT($B41,6)&amp;"*",[2]可交债!$A:$H,5,FALSE),"")</f>
        <v>0.1</v>
      </c>
      <c r="J41" s="8">
        <f>IFERROR(VLOOKUP(LEFT($B41,6)&amp;"*",[2]可交债!$A:$H,6,FALSE),"")</f>
        <v>1</v>
      </c>
      <c r="K41" s="8">
        <f>IFERROR(VLOOKUP(LEFT($B41,6)&amp;"*",[2]可交债!$A:$H,7,FALSE),"")</f>
        <v>15.869999999999999</v>
      </c>
      <c r="L41" s="8">
        <f>IFERROR(VLOOKUP(LEFT($B41,6)&amp;"*",[2]可交债!$A:$H,8,FALSE),"")</f>
        <v>9.32</v>
      </c>
      <c r="M41" s="8">
        <f>IFERROR(VLOOKUP(LEFT($B41,6),[4]中证可交换债券估值!$A:$H,5,FALSE),"")</f>
        <v>105.630399999999995</v>
      </c>
      <c r="N41" s="8">
        <f>IFERROR(VLOOKUP(LEFT($B41,6),[4]中证可交换债券估值!$A:$H,6,FALSE),"")</f>
        <v>7.4175</v>
      </c>
      <c r="O41" s="5">
        <f>IFERROR(VLOOKUP(LEFT($B41,6),[4]中证可交换债券估值!$A:$H,7,FALSE),"")</f>
        <v>98.212900000000005</v>
      </c>
    </row>
    <row r="42">
      <c r="A42" s="0" t="str">
        <f>TEXT([1]sheet1!$B$3,"yyyy-mm-dd")</f>
        <v>2026-08-17</v>
      </c>
      <c r="B42" s="0" t="str">
        <f>IF(LEN(TRIM([2]可交债!A38))=6,TRIM([2]可交债!A38)&amp;".SZ",TRIM([2]可交债!A38))</f>
        <v>137193.SH</v>
      </c>
      <c r="C42" s="0" t="str">
        <f>IFERROR(VLOOKUP(LEFT($B42,6)&amp;"*",[2]可交债!$A:$H,2,FALSE),"")</f>
        <v>25浙报EB</v>
      </c>
      <c r="D42" s="0" t="str">
        <f>IFERROR(VLOOKUP(LEFT($B42,6)&amp;"*",[2]可交债!$A:$H,3,FALSE),"")</f>
        <v>600633.SH</v>
      </c>
      <c r="E42" s="0" t="str">
        <f>IFERROR(VLOOKUP(LEFT($B42,6)&amp;"*",[2]可交债!$A:$H,4,FALSE),"")</f>
        <v>浙数文化</v>
      </c>
      <c r="F42" s="7">
        <f>SUMPRODUCT((LEFT(TRIM('[3]现券交易信息（逐笔）'!$B$2:$B$500),6)=LEFT($B42,6))*(IFERROR(--SUBSTITUTE('[3]现券交易信息（逐笔）'!$G$2:$G$500,",",""),0)))+SUMIF([1]sheet1!$D$2:$D$500,LEFT($B42,6)&amp;"*",[1]sheet1!$M$2:$M$500)</f>
        <v>0</v>
      </c>
      <c r="G42" s="7">
        <f>SUMPRODUCT((LEFT(TRIM('[3]现券交易信息（逐笔）'!$B$2:$B$500),6)=LEFT($B42,6))*(IFERROR(--SUBSTITUTE('[3]现券交易信息（逐笔）'!$F$2:$F$500,",",""),0)*100))+SUMIF([1]sheet1!$D$2:$D$500,LEFT($B42,6)&amp;"*",[1]sheet1!$L$2:$L$500)*100</f>
        <v>0</v>
      </c>
      <c r="H42" s="7" t="str">
        <f>IF(G42=0,"",ROUND(F42*10000/G42,4))</f>
        <v/>
      </c>
      <c r="I42" s="8">
        <f>IFERROR(VLOOKUP(LEFT($B42,6)&amp;"*",[2]可交债!$A:$H,5,FALSE),"")</f>
        <v>0.01</v>
      </c>
      <c r="J42" s="8">
        <f>IFERROR(VLOOKUP(LEFT($B42,6)&amp;"*",[2]可交债!$A:$H,6,FALSE),"")</f>
        <v>3</v>
      </c>
      <c r="K42" s="8">
        <f>IFERROR(VLOOKUP(LEFT($B42,6)&amp;"*",[2]可交债!$A:$H,7,FALSE),"")</f>
        <v>13.94</v>
      </c>
      <c r="L42" s="8">
        <f>IFERROR(VLOOKUP(LEFT($B42,6)&amp;"*",[2]可交债!$A:$H,8,FALSE),"")</f>
        <v>10.74</v>
      </c>
      <c r="M42" s="8">
        <f>IFERROR(VLOOKUP(LEFT($B42,6),[4]中证可交换债券估值!$A:$H,5,FALSE),"")</f>
        <v>110.6126</v>
      </c>
      <c r="N42" s="8">
        <f>IFERROR(VLOOKUP(LEFT($B42,6),[4]中证可交换债券估值!$A:$H,6,FALSE),"")</f>
        <v>10.283799999999999</v>
      </c>
      <c r="O42" s="5">
        <f>IFERROR(VLOOKUP(LEFT($B42,6),[4]中证可交换债券估值!$A:$H,7,FALSE),"")</f>
        <v>100.328800000000001</v>
      </c>
    </row>
    <row r="43">
      <c r="A43" s="0" t="str">
        <f>TEXT([1]sheet1!$B$3,"yyyy-mm-dd")</f>
        <v>2026-08-17</v>
      </c>
      <c r="B43" s="0" t="str">
        <f>IF(LEN(TRIM([2]可交债!A39))=6,TRIM([2]可交债!A39)&amp;".SZ",TRIM([2]可交债!A39))</f>
        <v>117243.SZ</v>
      </c>
      <c r="C43" s="0" t="str">
        <f>IFERROR(VLOOKUP(LEFT($B43,6)&amp;"*",[2]可交债!$A:$H,2,FALSE),"")</f>
        <v>25众兴EB02</v>
      </c>
      <c r="D43" s="0" t="str">
        <f>IFERROR(VLOOKUP(LEFT($B43,6)&amp;"*",[2]可交债!$A:$H,3,FALSE),"")</f>
        <v>001203.SZ</v>
      </c>
      <c r="E43" s="0" t="str">
        <f>IFERROR(VLOOKUP(LEFT($B43,6)&amp;"*",[2]可交债!$A:$H,4,FALSE),"")</f>
        <v>大中矿业</v>
      </c>
      <c r="F43" s="7">
        <f>SUMPRODUCT((LEFT(TRIM('[3]现券交易信息（逐笔）'!$B$2:$B$500),6)=LEFT($B43,6))*(IFERROR(--SUBSTITUTE('[3]现券交易信息（逐笔）'!$G$2:$G$500,",",""),0)))+SUMIF([1]sheet1!$D$2:$D$500,LEFT($B43,6)&amp;"*",[1]sheet1!$M$2:$M$500)</f>
        <v>0</v>
      </c>
      <c r="G43" s="7">
        <f>SUMPRODUCT((LEFT(TRIM('[3]现券交易信息（逐笔）'!$B$2:$B$500),6)=LEFT($B43,6))*(IFERROR(--SUBSTITUTE('[3]现券交易信息（逐笔）'!$F$2:$F$500,",",""),0)*100))+SUMIF([1]sheet1!$D$2:$D$500,LEFT($B43,6)&amp;"*",[1]sheet1!$L$2:$L$500)*100</f>
        <v>0</v>
      </c>
      <c r="H43" s="7" t="str">
        <f>IF(G43=0,"",ROUND(F43*10000/G43,4))</f>
        <v/>
      </c>
      <c r="I43" s="8">
        <f>IFERROR(VLOOKUP(LEFT($B43,6)&amp;"*",[2]可交债!$A:$H,5,FALSE),"")</f>
        <v>0.5</v>
      </c>
      <c r="J43" s="8">
        <f>IFERROR(VLOOKUP(LEFT($B43,6)&amp;"*",[2]可交债!$A:$H,6,FALSE),"")</f>
        <v>6</v>
      </c>
      <c r="K43" s="8">
        <f>IFERROR(VLOOKUP(LEFT($B43,6)&amp;"*",[2]可交债!$A:$H,7,FALSE),"")</f>
        <v>32.090000000000003</v>
      </c>
      <c r="L43" s="8">
        <f>IFERROR(VLOOKUP(LEFT($B43,6)&amp;"*",[2]可交债!$A:$H,8,FALSE),"")</f>
        <v>27.940000000000001</v>
      </c>
      <c r="M43" s="8">
        <f>IFERROR(VLOOKUP(LEFT($B43,6),[4]中证可交换债券估值!$A:$H,5,FALSE),"")</f>
        <v>115.705100000000002</v>
      </c>
      <c r="N43" s="8">
        <f>IFERROR(VLOOKUP(LEFT($B43,6),[4]中证可交换债券估值!$A:$H,6,FALSE),"")</f>
        <v>13.34</v>
      </c>
      <c r="O43" s="5">
        <f>IFERROR(VLOOKUP(LEFT($B43,6),[4]中证可交换债券估值!$A:$H,7,FALSE),"")</f>
        <v>102.365099999999998</v>
      </c>
    </row>
    <row r="44">
      <c r="A44" s="0" t="str">
        <f>TEXT([1]sheet1!$B$3,"yyyy-mm-dd")</f>
        <v>2026-08-17</v>
      </c>
      <c r="B44" s="0" t="str">
        <f>IF(LEN(TRIM([2]可交债!A40))=6,TRIM([2]可交债!A40)&amp;".SZ",TRIM([2]可交债!A40))</f>
        <v>117239.SZ</v>
      </c>
      <c r="C44" s="0" t="str">
        <f>IFERROR(VLOOKUP(LEFT($B44,6)&amp;"*",[2]可交债!$A:$H,2,FALSE),"")</f>
        <v>25紫金E1</v>
      </c>
      <c r="D44" s="0" t="str">
        <f>IFERROR(VLOOKUP(LEFT($B44,6)&amp;"*",[2]可交债!$A:$H,3,FALSE),"")</f>
        <v>002226.SZ</v>
      </c>
      <c r="E44" s="0" t="str">
        <f>IFERROR(VLOOKUP(LEFT($B44,6)&amp;"*",[2]可交债!$A:$H,4,FALSE),"")</f>
        <v>江南化工</v>
      </c>
      <c r="F44" s="7">
        <f>SUMPRODUCT((LEFT(TRIM('[3]现券交易信息（逐笔）'!$B$2:$B$500),6)=LEFT($B44,6))*(IFERROR(--SUBSTITUTE('[3]现券交易信息（逐笔）'!$G$2:$G$500,",",""),0)))+SUMIF([1]sheet1!$D$2:$D$500,LEFT($B44,6)&amp;"*",[1]sheet1!$M$2:$M$500)</f>
        <v>0</v>
      </c>
      <c r="G44" s="7">
        <f>SUMPRODUCT((LEFT(TRIM('[3]现券交易信息（逐笔）'!$B$2:$B$500),6)=LEFT($B44,6))*(IFERROR(--SUBSTITUTE('[3]现券交易信息（逐笔）'!$F$2:$F$500,",",""),0)*100))+SUMIF([1]sheet1!$D$2:$D$500,LEFT($B44,6)&amp;"*",[1]sheet1!$L$2:$L$500)*100</f>
        <v>0</v>
      </c>
      <c r="H44" s="7" t="str">
        <f>IF(G44=0,"",ROUND(F44*10000/G44,4))</f>
        <v/>
      </c>
      <c r="I44" s="8">
        <f>IFERROR(VLOOKUP(LEFT($B44,6)&amp;"*",[2]可交债!$A:$H,5,FALSE),"")</f>
        <v>0.01</v>
      </c>
      <c r="J44" s="8">
        <f>IFERROR(VLOOKUP(LEFT($B44,6)&amp;"*",[2]可交债!$A:$H,6,FALSE),"")</f>
        <v>0</v>
      </c>
      <c r="K44" s="8">
        <f>IFERROR(VLOOKUP(LEFT($B44,6)&amp;"*",[2]可交债!$A:$H,7,FALSE),"")</f>
        <v>5.66</v>
      </c>
      <c r="L44" s="8">
        <f>IFERROR(VLOOKUP(LEFT($B44,6)&amp;"*",[2]可交债!$A:$H,8,FALSE),"")</f>
        <v>5.13</v>
      </c>
      <c r="M44" s="8">
        <f>IFERROR(VLOOKUP(LEFT($B44,6),[4]中证可交换债券估值!$A:$H,5,FALSE),"")</f>
        <v>113.464299999999994</v>
      </c>
      <c r="N44" s="8">
        <f>IFERROR(VLOOKUP(LEFT($B44,6),[4]中证可交换债券估值!$A:$H,6,FALSE),"")</f>
        <v>16.754100000000001</v>
      </c>
      <c r="O44" s="5">
        <f>IFERROR(VLOOKUP(LEFT($B44,6),[4]中证可交换债券估值!$A:$H,7,FALSE),"")</f>
        <v>96.7102</v>
      </c>
    </row>
    <row r="45">
      <c r="A45" s="0" t="str">
        <f>TEXT([1]sheet1!B8,"yyyy-mm-dd")</f>
        <v>2026-08-17</v>
      </c>
      <c r="B45" s="0" t="str">
        <f>IF(LEN(TRIM([1]sheet1!D8))=6,TRIM([1]sheet1!D8)&amp;".SZ",TRIM([1]sheet1!D8))</f>
        <v>137208.SH</v>
      </c>
      <c r="C45" s="0" t="str">
        <f>IFERROR(VLOOKUP(LEFT($B45,6)&amp;"*",[2]可交债!$A:$H,2,FALSE),"")</f>
        <v>26AQKEB</v>
      </c>
      <c r="D45" s="0" t="str">
        <f>IFERROR(VLOOKUP(LEFT($B45,6)&amp;"*",[2]可交债!$A:$H,3,FALSE),"")</f>
        <v>600298.SH</v>
      </c>
      <c r="E45" s="0" t="str">
        <f>IFERROR(VLOOKUP(LEFT($B45,6)&amp;"*",[2]可交债!$A:$H,4,FALSE),"")</f>
        <v>安琪酵母</v>
      </c>
      <c r="F45" s="7">
        <f>[1]sheet1!M8</f>
        <v>534.850000000000023</v>
      </c>
      <c r="G45" s="7">
        <f>[1]sheet1!L8*100</f>
        <v>50000</v>
      </c>
      <c r="H45" s="7">
        <f>IF(G45=0,"",ROUND(F45*10000/G45,4))</f>
        <v>106.969999999999999</v>
      </c>
      <c r="I45" s="8">
        <f>IFERROR(VLOOKUP(LEFT($B45,6)&amp;"*",[2]可交债!$A:$H,5,FALSE),"")</f>
        <v>0.01</v>
      </c>
      <c r="J45" s="8">
        <f>IFERROR(VLOOKUP(LEFT($B45,6)&amp;"*",[2]可交债!$A:$H,6,FALSE),"")</f>
        <v>0</v>
      </c>
      <c r="K45" s="8">
        <f>IFERROR(VLOOKUP(LEFT($B45,6)&amp;"*",[2]可交债!$A:$H,7,FALSE),"")</f>
        <v>60</v>
      </c>
      <c r="L45" s="8">
        <f>IFERROR(VLOOKUP(LEFT($B45,6)&amp;"*",[2]可交债!$A:$H,8,FALSE),"")</f>
        <v>41.890000000000001</v>
      </c>
      <c r="M45" s="8">
        <f>IFERROR(VLOOKUP(LEFT($B45,6),[4]中证可交换债券估值!$A:$H,5,FALSE),"")</f>
        <v>102.452600000000004</v>
      </c>
      <c r="N45" s="8">
        <f>IFERROR(VLOOKUP(LEFT($B45,6),[4]中证可交换债券估值!$A:$H,6,FALSE),"")</f>
        <v>7.3307</v>
      </c>
      <c r="O45" s="5">
        <f>IFERROR(VLOOKUP(LEFT($B45,6),[4]中证可交换债券估值!$A:$H,7,FALSE),"")</f>
        <v>95.121899999999997</v>
      </c>
    </row>
    <row r="46">
      <c r="A46" s="0" t="str">
        <f>TEXT([1]sheet1!B9,"yyyy-mm-dd")</f>
        <v>2026-08-17</v>
      </c>
      <c r="B46" s="0" t="str">
        <f>IF(LEN(TRIM([1]sheet1!D9))=6,TRIM([1]sheet1!D9)&amp;".SZ",TRIM([1]sheet1!D9))</f>
        <v>137208.SH</v>
      </c>
      <c r="C46" s="0" t="str">
        <f>IFERROR(VLOOKUP(LEFT($B46,6)&amp;"*",[2]可交债!$A:$H,2,FALSE),"")</f>
        <v>26AQKEB</v>
      </c>
      <c r="D46" s="0" t="str">
        <f>IFERROR(VLOOKUP(LEFT($B46,6)&amp;"*",[2]可交债!$A:$H,3,FALSE),"")</f>
        <v>600298.SH</v>
      </c>
      <c r="E46" s="0" t="str">
        <f>IFERROR(VLOOKUP(LEFT($B46,6)&amp;"*",[2]可交债!$A:$H,4,FALSE),"")</f>
        <v>安琪酵母</v>
      </c>
      <c r="F46" s="7">
        <f>[1]sheet1!M9</f>
        <v>534.850000000000023</v>
      </c>
      <c r="G46" s="7">
        <f>[1]sheet1!L9*100</f>
        <v>50000</v>
      </c>
      <c r="H46" s="7">
        <f>IF(G46=0,"",ROUND(F46*10000/G46,4))</f>
        <v>106.969999999999999</v>
      </c>
      <c r="I46" s="8">
        <f>IFERROR(VLOOKUP(LEFT($B46,6)&amp;"*",[2]可交债!$A:$H,5,FALSE),"")</f>
        <v>0.01</v>
      </c>
      <c r="J46" s="8">
        <f>IFERROR(VLOOKUP(LEFT($B46,6)&amp;"*",[2]可交债!$A:$H,6,FALSE),"")</f>
        <v>0</v>
      </c>
      <c r="K46" s="8">
        <f>IFERROR(VLOOKUP(LEFT($B46,6)&amp;"*",[2]可交债!$A:$H,7,FALSE),"")</f>
        <v>60</v>
      </c>
      <c r="L46" s="8">
        <f>IFERROR(VLOOKUP(LEFT($B46,6)&amp;"*",[2]可交债!$A:$H,8,FALSE),"")</f>
        <v>41.890000000000001</v>
      </c>
      <c r="M46" s="8">
        <f>IFERROR(VLOOKUP(LEFT($B46,6),[4]中证可交换债券估值!$A:$H,5,FALSE),"")</f>
        <v>102.452600000000004</v>
      </c>
      <c r="N46" s="8">
        <f>IFERROR(VLOOKUP(LEFT($B46,6),[4]中证可交换债券估值!$A:$H,6,FALSE),"")</f>
        <v>7.3307</v>
      </c>
      <c r="O46" s="5">
        <f>IFERROR(VLOOKUP(LEFT($B46,6),[4]中证可交换债券估值!$A:$H,7,FALSE),"")</f>
        <v>95.121899999999997</v>
      </c>
    </row>
    <row r="47">
      <c r="A47" s="0" t="str">
        <f>TEXT([1]sheet1!B10,"yyyy-mm-dd")</f>
        <v>2026-08-17</v>
      </c>
      <c r="B47" s="0" t="str">
        <f>IF(LEN(TRIM([1]sheet1!D10))=6,TRIM([1]sheet1!D10)&amp;".SZ",TRIM([1]sheet1!D10))</f>
        <v>137208.SH</v>
      </c>
      <c r="C47" s="0" t="str">
        <f>IFERROR(VLOOKUP(LEFT($B47,6)&amp;"*",[2]可交债!$A:$H,2,FALSE),"")</f>
        <v>26AQKEB</v>
      </c>
      <c r="D47" s="0" t="str">
        <f>IFERROR(VLOOKUP(LEFT($B47,6)&amp;"*",[2]可交债!$A:$H,3,FALSE),"")</f>
        <v>600298.SH</v>
      </c>
      <c r="E47" s="0" t="str">
        <f>IFERROR(VLOOKUP(LEFT($B47,6)&amp;"*",[2]可交债!$A:$H,4,FALSE),"")</f>
        <v>安琪酵母</v>
      </c>
      <c r="F47" s="7">
        <f>[1]sheet1!M10</f>
        <v>427.879999999999995</v>
      </c>
      <c r="G47" s="7">
        <f>[1]sheet1!L10*100</f>
        <v>40000</v>
      </c>
      <c r="H47" s="7">
        <f>IF(G47=0,"",ROUND(F47*10000/G47,4))</f>
        <v>106.969999999999999</v>
      </c>
      <c r="I47" s="8">
        <f>IFERROR(VLOOKUP(LEFT($B47,6)&amp;"*",[2]可交债!$A:$H,5,FALSE),"")</f>
        <v>0.01</v>
      </c>
      <c r="J47" s="8">
        <f>IFERROR(VLOOKUP(LEFT($B47,6)&amp;"*",[2]可交债!$A:$H,6,FALSE),"")</f>
        <v>0</v>
      </c>
      <c r="K47" s="8">
        <f>IFERROR(VLOOKUP(LEFT($B47,6)&amp;"*",[2]可交债!$A:$H,7,FALSE),"")</f>
        <v>60</v>
      </c>
      <c r="L47" s="8">
        <f>IFERROR(VLOOKUP(LEFT($B47,6)&amp;"*",[2]可交债!$A:$H,8,FALSE),"")</f>
        <v>41.890000000000001</v>
      </c>
      <c r="M47" s="8">
        <f>IFERROR(VLOOKUP(LEFT($B47,6),[4]中证可交换债券估值!$A:$H,5,FALSE),"")</f>
        <v>102.452600000000004</v>
      </c>
      <c r="N47" s="8">
        <f>IFERROR(VLOOKUP(LEFT($B47,6),[4]中证可交换债券估值!$A:$H,6,FALSE),"")</f>
        <v>7.3307</v>
      </c>
      <c r="O47" s="5">
        <f>IFERROR(VLOOKUP(LEFT($B47,6),[4]中证可交换债券估值!$A:$H,7,FALSE),"")</f>
        <v>95.121899999999997</v>
      </c>
    </row>
    <row r="48">
      <c r="A48" s="0" t="str">
        <f>TEXT([1]sheet1!B11,"yyyy-mm-dd")</f>
        <v>2026-08-17</v>
      </c>
      <c r="B48" s="0" t="str">
        <f>IF(LEN(TRIM([1]sheet1!D11))=6,TRIM([1]sheet1!D11)&amp;".SZ",TRIM([1]sheet1!D11))</f>
        <v>137208.SH</v>
      </c>
      <c r="C48" s="0" t="str">
        <f>IFERROR(VLOOKUP(LEFT($B48,6)&amp;"*",[2]可交债!$A:$H,2,FALSE),"")</f>
        <v>26AQKEB</v>
      </c>
      <c r="D48" s="0" t="str">
        <f>IFERROR(VLOOKUP(LEFT($B48,6)&amp;"*",[2]可交债!$A:$H,3,FALSE),"")</f>
        <v>600298.SH</v>
      </c>
      <c r="E48" s="0" t="str">
        <f>IFERROR(VLOOKUP(LEFT($B48,6)&amp;"*",[2]可交债!$A:$H,4,FALSE),"")</f>
        <v>安琪酵母</v>
      </c>
      <c r="F48" s="7">
        <f>[1]sheet1!M11</f>
        <v>641.82000000000005</v>
      </c>
      <c r="G48" s="7">
        <f>[1]sheet1!L11*100</f>
        <v>60000</v>
      </c>
      <c r="H48" s="7">
        <f>IF(G48=0,"",ROUND(F48*10000/G48,4))</f>
        <v>106.969999999999999</v>
      </c>
      <c r="I48" s="8">
        <f>IFERROR(VLOOKUP(LEFT($B48,6)&amp;"*",[2]可交债!$A:$H,5,FALSE),"")</f>
        <v>0.01</v>
      </c>
      <c r="J48" s="8">
        <f>IFERROR(VLOOKUP(LEFT($B48,6)&amp;"*",[2]可交债!$A:$H,6,FALSE),"")</f>
        <v>0</v>
      </c>
      <c r="K48" s="8">
        <f>IFERROR(VLOOKUP(LEFT($B48,6)&amp;"*",[2]可交债!$A:$H,7,FALSE),"")</f>
        <v>60</v>
      </c>
      <c r="L48" s="8">
        <f>IFERROR(VLOOKUP(LEFT($B48,6)&amp;"*",[2]可交债!$A:$H,8,FALSE),"")</f>
        <v>41.890000000000001</v>
      </c>
      <c r="M48" s="8">
        <f>IFERROR(VLOOKUP(LEFT($B48,6),[4]中证可交换债券估值!$A:$H,5,FALSE),"")</f>
        <v>102.452600000000004</v>
      </c>
      <c r="N48" s="8">
        <f>IFERROR(VLOOKUP(LEFT($B48,6),[4]中证可交换债券估值!$A:$H,6,FALSE),"")</f>
        <v>7.3307</v>
      </c>
      <c r="O48" s="5">
        <f>IFERROR(VLOOKUP(LEFT($B48,6),[4]中证可交换债券估值!$A:$H,7,FALSE),"")</f>
        <v>95.121899999999997</v>
      </c>
    </row>
    <row r="49">
      <c r="A49" s="0" t="str">
        <f>TEXT([1]sheet1!B12,"yyyy-mm-dd")</f>
        <v>2026-08-17</v>
      </c>
      <c r="B49" s="0" t="str">
        <f>IF(LEN(TRIM([1]sheet1!D12))=6,TRIM([1]sheet1!D12)&amp;".SZ",TRIM([1]sheet1!D12))</f>
        <v>137208.SH</v>
      </c>
      <c r="C49" s="0" t="str">
        <f>IFERROR(VLOOKUP(LEFT($B49,6)&amp;"*",[2]可交债!$A:$H,2,FALSE),"")</f>
        <v>26AQKEB</v>
      </c>
      <c r="D49" s="0" t="str">
        <f>IFERROR(VLOOKUP(LEFT($B49,6)&amp;"*",[2]可交债!$A:$H,3,FALSE),"")</f>
        <v>600298.SH</v>
      </c>
      <c r="E49" s="0" t="str">
        <f>IFERROR(VLOOKUP(LEFT($B49,6)&amp;"*",[2]可交债!$A:$H,4,FALSE),"")</f>
        <v>安琪酵母</v>
      </c>
      <c r="F49" s="7">
        <f>[1]sheet1!M12</f>
        <v>428</v>
      </c>
      <c r="G49" s="7">
        <f>[1]sheet1!L12*100</f>
        <v>40000</v>
      </c>
      <c r="H49" s="7">
        <f>IF(G49=0,"",ROUND(F49*10000/G49,4))</f>
        <v>107</v>
      </c>
      <c r="I49" s="8">
        <f>IFERROR(VLOOKUP(LEFT($B49,6)&amp;"*",[2]可交债!$A:$H,5,FALSE),"")</f>
        <v>0.01</v>
      </c>
      <c r="J49" s="8">
        <f>IFERROR(VLOOKUP(LEFT($B49,6)&amp;"*",[2]可交债!$A:$H,6,FALSE),"")</f>
        <v>0</v>
      </c>
      <c r="K49" s="8">
        <f>IFERROR(VLOOKUP(LEFT($B49,6)&amp;"*",[2]可交债!$A:$H,7,FALSE),"")</f>
        <v>60</v>
      </c>
      <c r="L49" s="8">
        <f>IFERROR(VLOOKUP(LEFT($B49,6)&amp;"*",[2]可交债!$A:$H,8,FALSE),"")</f>
        <v>41.890000000000001</v>
      </c>
      <c r="M49" s="8">
        <f>IFERROR(VLOOKUP(LEFT($B49,6),[4]中证可交换债券估值!$A:$H,5,FALSE),"")</f>
        <v>102.452600000000004</v>
      </c>
      <c r="N49" s="8">
        <f>IFERROR(VLOOKUP(LEFT($B49,6),[4]中证可交换债券估值!$A:$H,6,FALSE),"")</f>
        <v>7.3307</v>
      </c>
      <c r="O49" s="5">
        <f>IFERROR(VLOOKUP(LEFT($B49,6),[4]中证可交换债券估值!$A:$H,7,FALSE),"")</f>
        <v>95.121899999999997</v>
      </c>
    </row>
    <row r="50">
      <c r="A50" s="0" t="str">
        <f>TEXT([1]sheet1!B13,"yyyy-mm-dd")</f>
        <v>2026-08-17</v>
      </c>
      <c r="B50" s="0" t="str">
        <f>IF(LEN(TRIM([1]sheet1!D13))=6,TRIM([1]sheet1!D13)&amp;".SZ",TRIM([1]sheet1!D13))</f>
        <v>137208.SH</v>
      </c>
      <c r="C50" s="0" t="str">
        <f>IFERROR(VLOOKUP(LEFT($B50,6)&amp;"*",[2]可交债!$A:$H,2,FALSE),"")</f>
        <v>26AQKEB</v>
      </c>
      <c r="D50" s="0" t="str">
        <f>IFERROR(VLOOKUP(LEFT($B50,6)&amp;"*",[2]可交债!$A:$H,3,FALSE),"")</f>
        <v>600298.SH</v>
      </c>
      <c r="E50" s="0" t="str">
        <f>IFERROR(VLOOKUP(LEFT($B50,6)&amp;"*",[2]可交债!$A:$H,4,FALSE),"")</f>
        <v>安琪酵母</v>
      </c>
      <c r="F50" s="7">
        <f>[1]sheet1!M13</f>
        <v>2010</v>
      </c>
      <c r="G50" s="7">
        <f>[1]sheet1!L13*100</f>
        <v>200000</v>
      </c>
      <c r="H50" s="7">
        <f>IF(G50=0,"",ROUND(F50*10000/G50,4))</f>
        <v>100.5</v>
      </c>
      <c r="I50" s="8">
        <f>IFERROR(VLOOKUP(LEFT($B50,6)&amp;"*",[2]可交债!$A:$H,5,FALSE),"")</f>
        <v>0.01</v>
      </c>
      <c r="J50" s="8">
        <f>IFERROR(VLOOKUP(LEFT($B50,6)&amp;"*",[2]可交债!$A:$H,6,FALSE),"")</f>
        <v>0</v>
      </c>
      <c r="K50" s="8">
        <f>IFERROR(VLOOKUP(LEFT($B50,6)&amp;"*",[2]可交债!$A:$H,7,FALSE),"")</f>
        <v>60</v>
      </c>
      <c r="L50" s="8">
        <f>IFERROR(VLOOKUP(LEFT($B50,6)&amp;"*",[2]可交债!$A:$H,8,FALSE),"")</f>
        <v>41.890000000000001</v>
      </c>
      <c r="M50" s="8">
        <f>IFERROR(VLOOKUP(LEFT($B50,6),[4]中证可交换债券估值!$A:$H,5,FALSE),"")</f>
        <v>102.452600000000004</v>
      </c>
      <c r="N50" s="8">
        <f>IFERROR(VLOOKUP(LEFT($B50,6),[4]中证可交换债券估值!$A:$H,6,FALSE),"")</f>
        <v>7.3307</v>
      </c>
      <c r="O50" s="5">
        <f>IFERROR(VLOOKUP(LEFT($B50,6),[4]中证可交换债券估值!$A:$H,7,FALSE),"")</f>
        <v>95.121899999999997</v>
      </c>
    </row>
    <row r="51">
      <c r="A51" s="0" t="str">
        <f>TEXT([1]sheet1!B14,"yyyy-mm-dd")</f>
        <v>2026-08-17</v>
      </c>
      <c r="B51" s="0" t="str">
        <f>IF(LEN(TRIM([1]sheet1!D14))=6,TRIM([1]sheet1!D14)&amp;".SZ",TRIM([1]sheet1!D14))</f>
        <v>137208.SH</v>
      </c>
      <c r="C51" s="0" t="str">
        <f>IFERROR(VLOOKUP(LEFT($B51,6)&amp;"*",[2]可交债!$A:$H,2,FALSE),"")</f>
        <v>26AQKEB</v>
      </c>
      <c r="D51" s="0" t="str">
        <f>IFERROR(VLOOKUP(LEFT($B51,6)&amp;"*",[2]可交债!$A:$H,3,FALSE),"")</f>
        <v>600298.SH</v>
      </c>
      <c r="E51" s="0" t="str">
        <f>IFERROR(VLOOKUP(LEFT($B51,6)&amp;"*",[2]可交债!$A:$H,4,FALSE),"")</f>
        <v>安琪酵母</v>
      </c>
      <c r="F51" s="7">
        <f>[1]sheet1!M14</f>
        <v>2011</v>
      </c>
      <c r="G51" s="7">
        <f>[1]sheet1!L14*100</f>
        <v>200000</v>
      </c>
      <c r="H51" s="7">
        <f>IF(G51=0,"",ROUND(F51*10000/G51,4))</f>
        <v>100.549999999999997</v>
      </c>
      <c r="I51" s="8">
        <f>IFERROR(VLOOKUP(LEFT($B51,6)&amp;"*",[2]可交债!$A:$H,5,FALSE),"")</f>
        <v>0.01</v>
      </c>
      <c r="J51" s="8">
        <f>IFERROR(VLOOKUP(LEFT($B51,6)&amp;"*",[2]可交债!$A:$H,6,FALSE),"")</f>
        <v>0</v>
      </c>
      <c r="K51" s="8">
        <f>IFERROR(VLOOKUP(LEFT($B51,6)&amp;"*",[2]可交债!$A:$H,7,FALSE),"")</f>
        <v>60</v>
      </c>
      <c r="L51" s="8">
        <f>IFERROR(VLOOKUP(LEFT($B51,6)&amp;"*",[2]可交债!$A:$H,8,FALSE),"")</f>
        <v>41.890000000000001</v>
      </c>
      <c r="M51" s="8">
        <f>IFERROR(VLOOKUP(LEFT($B51,6),[4]中证可交换债券估值!$A:$H,5,FALSE),"")</f>
        <v>102.452600000000004</v>
      </c>
      <c r="N51" s="8">
        <f>IFERROR(VLOOKUP(LEFT($B51,6),[4]中证可交换债券估值!$A:$H,6,FALSE),"")</f>
        <v>7.3307</v>
      </c>
      <c r="O51" s="5">
        <f>IFERROR(VLOOKUP(LEFT($B51,6),[4]中证可交换债券估值!$A:$H,7,FALSE),"")</f>
        <v>95.121899999999997</v>
      </c>
    </row>
    <row r="52">
      <c r="A52" s="0" t="str">
        <f>TEXT([1]sheet1!B15,"yyyy-mm-dd")</f>
        <v>2026-08-17</v>
      </c>
      <c r="B52" s="0" t="str">
        <f>IF(LEN(TRIM([1]sheet1!D15))=6,TRIM([1]sheet1!D15)&amp;".SZ",TRIM([1]sheet1!D15))</f>
        <v>137208.SH</v>
      </c>
      <c r="C52" s="0" t="str">
        <f>IFERROR(VLOOKUP(LEFT($B52,6)&amp;"*",[2]可交债!$A:$H,2,FALSE),"")</f>
        <v>26AQKEB</v>
      </c>
      <c r="D52" s="0" t="str">
        <f>IFERROR(VLOOKUP(LEFT($B52,6)&amp;"*",[2]可交债!$A:$H,3,FALSE),"")</f>
        <v>600298.SH</v>
      </c>
      <c r="E52" s="0" t="str">
        <f>IFERROR(VLOOKUP(LEFT($B52,6)&amp;"*",[2]可交债!$A:$H,4,FALSE),"")</f>
        <v>安琪酵母</v>
      </c>
      <c r="F52" s="7">
        <f>[1]sheet1!M15</f>
        <v>2002</v>
      </c>
      <c r="G52" s="7">
        <f>[1]sheet1!L15*100</f>
        <v>200000</v>
      </c>
      <c r="H52" s="7">
        <f>IF(G52=0,"",ROUND(F52*10000/G52,4))</f>
        <v>100.099999999999994</v>
      </c>
      <c r="I52" s="8">
        <f>IFERROR(VLOOKUP(LEFT($B52,6)&amp;"*",[2]可交债!$A:$H,5,FALSE),"")</f>
        <v>0.01</v>
      </c>
      <c r="J52" s="8">
        <f>IFERROR(VLOOKUP(LEFT($B52,6)&amp;"*",[2]可交债!$A:$H,6,FALSE),"")</f>
        <v>0</v>
      </c>
      <c r="K52" s="8">
        <f>IFERROR(VLOOKUP(LEFT($B52,6)&amp;"*",[2]可交债!$A:$H,7,FALSE),"")</f>
        <v>60</v>
      </c>
      <c r="L52" s="8">
        <f>IFERROR(VLOOKUP(LEFT($B52,6)&amp;"*",[2]可交债!$A:$H,8,FALSE),"")</f>
        <v>41.890000000000001</v>
      </c>
      <c r="M52" s="8">
        <f>IFERROR(VLOOKUP(LEFT($B52,6),[4]中证可交换债券估值!$A:$H,5,FALSE),"")</f>
        <v>102.452600000000004</v>
      </c>
      <c r="N52" s="8">
        <f>IFERROR(VLOOKUP(LEFT($B52,6),[4]中证可交换债券估值!$A:$H,6,FALSE),"")</f>
        <v>7.3307</v>
      </c>
      <c r="O52" s="5">
        <f>IFERROR(VLOOKUP(LEFT($B52,6),[4]中证可交换债券估值!$A:$H,7,FALSE),"")</f>
        <v>95.121899999999997</v>
      </c>
    </row>
    <row r="53">
      <c r="A53" s="0" t="str">
        <f>TEXT([1]sheet1!B16,"yyyy-mm-dd")</f>
        <v>2026-08-17</v>
      </c>
      <c r="B53" s="0" t="str">
        <f>IF(LEN(TRIM([1]sheet1!D16))=6,TRIM([1]sheet1!D16)&amp;".SZ",TRIM([1]sheet1!D16))</f>
        <v>137208.SH</v>
      </c>
      <c r="C53" s="0" t="str">
        <f>IFERROR(VLOOKUP(LEFT($B53,6)&amp;"*",[2]可交债!$A:$H,2,FALSE),"")</f>
        <v>26AQKEB</v>
      </c>
      <c r="D53" s="0" t="str">
        <f>IFERROR(VLOOKUP(LEFT($B53,6)&amp;"*",[2]可交债!$A:$H,3,FALSE),"")</f>
        <v>600298.SH</v>
      </c>
      <c r="E53" s="0" t="str">
        <f>IFERROR(VLOOKUP(LEFT($B53,6)&amp;"*",[2]可交债!$A:$H,4,FALSE),"")</f>
        <v>安琪酵母</v>
      </c>
      <c r="F53" s="7">
        <f>[1]sheet1!M16</f>
        <v>962.730000000000018</v>
      </c>
      <c r="G53" s="7">
        <f>[1]sheet1!L16*100</f>
        <v>90000</v>
      </c>
      <c r="H53" s="7">
        <f>IF(G53=0,"",ROUND(F53*10000/G53,4))</f>
        <v>106.969999999999999</v>
      </c>
      <c r="I53" s="8">
        <f>IFERROR(VLOOKUP(LEFT($B53,6)&amp;"*",[2]可交债!$A:$H,5,FALSE),"")</f>
        <v>0.01</v>
      </c>
      <c r="J53" s="8">
        <f>IFERROR(VLOOKUP(LEFT($B53,6)&amp;"*",[2]可交债!$A:$H,6,FALSE),"")</f>
        <v>0</v>
      </c>
      <c r="K53" s="8">
        <f>IFERROR(VLOOKUP(LEFT($B53,6)&amp;"*",[2]可交债!$A:$H,7,FALSE),"")</f>
        <v>60</v>
      </c>
      <c r="L53" s="8">
        <f>IFERROR(VLOOKUP(LEFT($B53,6)&amp;"*",[2]可交债!$A:$H,8,FALSE),"")</f>
        <v>41.890000000000001</v>
      </c>
      <c r="M53" s="8">
        <f>IFERROR(VLOOKUP(LEFT($B53,6),[4]中证可交换债券估值!$A:$H,5,FALSE),"")</f>
        <v>102.452600000000004</v>
      </c>
      <c r="N53" s="8">
        <f>IFERROR(VLOOKUP(LEFT($B53,6),[4]中证可交换债券估值!$A:$H,6,FALSE),"")</f>
        <v>7.3307</v>
      </c>
      <c r="O53" s="5">
        <f>IFERROR(VLOOKUP(LEFT($B53,6),[4]中证可交换债券估值!$A:$H,7,FALSE),"")</f>
        <v>95.121899999999997</v>
      </c>
    </row>
    <row r="54">
      <c r="A54" s="0" t="str">
        <f>TEXT([1]sheet1!B17,"yyyy-mm-dd")</f>
        <v>2026-08-17</v>
      </c>
      <c r="B54" s="0" t="str">
        <f>IF(LEN(TRIM([1]sheet1!D17))=6,TRIM([1]sheet1!D17)&amp;".SZ",TRIM([1]sheet1!D17))</f>
        <v>137208.SH</v>
      </c>
      <c r="C54" s="0" t="str">
        <f>IFERROR(VLOOKUP(LEFT($B54,6)&amp;"*",[2]可交债!$A:$H,2,FALSE),"")</f>
        <v>26AQKEB</v>
      </c>
      <c r="D54" s="0" t="str">
        <f>IFERROR(VLOOKUP(LEFT($B54,6)&amp;"*",[2]可交债!$A:$H,3,FALSE),"")</f>
        <v>600298.SH</v>
      </c>
      <c r="E54" s="0" t="str">
        <f>IFERROR(VLOOKUP(LEFT($B54,6)&amp;"*",[2]可交债!$A:$H,4,FALSE),"")</f>
        <v>安琪酵母</v>
      </c>
      <c r="F54" s="7">
        <f>[1]sheet1!M17</f>
        <v>1069.700000000000045</v>
      </c>
      <c r="G54" s="7">
        <f>[1]sheet1!L17*100</f>
        <v>100000</v>
      </c>
      <c r="H54" s="7">
        <f>IF(G54=0,"",ROUND(F54*10000/G54,4))</f>
        <v>106.969999999999999</v>
      </c>
      <c r="I54" s="8">
        <f>IFERROR(VLOOKUP(LEFT($B54,6)&amp;"*",[2]可交债!$A:$H,5,FALSE),"")</f>
        <v>0.01</v>
      </c>
      <c r="J54" s="8">
        <f>IFERROR(VLOOKUP(LEFT($B54,6)&amp;"*",[2]可交债!$A:$H,6,FALSE),"")</f>
        <v>0</v>
      </c>
      <c r="K54" s="8">
        <f>IFERROR(VLOOKUP(LEFT($B54,6)&amp;"*",[2]可交债!$A:$H,7,FALSE),"")</f>
        <v>60</v>
      </c>
      <c r="L54" s="8">
        <f>IFERROR(VLOOKUP(LEFT($B54,6)&amp;"*",[2]可交债!$A:$H,8,FALSE),"")</f>
        <v>41.890000000000001</v>
      </c>
      <c r="M54" s="8">
        <f>IFERROR(VLOOKUP(LEFT($B54,6),[4]中证可交换债券估值!$A:$H,5,FALSE),"")</f>
        <v>102.452600000000004</v>
      </c>
      <c r="N54" s="8">
        <f>IFERROR(VLOOKUP(LEFT($B54,6),[4]中证可交换债券估值!$A:$H,6,FALSE),"")</f>
        <v>7.3307</v>
      </c>
      <c r="O54" s="5">
        <f>IFERROR(VLOOKUP(LEFT($B54,6),[4]中证可交换债券估值!$A:$H,7,FALSE),"")</f>
        <v>95.121899999999997</v>
      </c>
    </row>
    <row r="55">
      <c r="A55" s="0" t="str">
        <f>TEXT([1]sheet1!B18,"yyyy-mm-dd")</f>
        <v>2026-08-17</v>
      </c>
      <c r="B55" s="0" t="str">
        <f>IF(LEN(TRIM([1]sheet1!D18))=6,TRIM([1]sheet1!D18)&amp;".SZ",TRIM([1]sheet1!D18))</f>
        <v>137208.SH</v>
      </c>
      <c r="C55" s="0" t="str">
        <f>IFERROR(VLOOKUP(LEFT($B55,6)&amp;"*",[2]可交债!$A:$H,2,FALSE),"")</f>
        <v>26AQKEB</v>
      </c>
      <c r="D55" s="0" t="str">
        <f>IFERROR(VLOOKUP(LEFT($B55,6)&amp;"*",[2]可交债!$A:$H,3,FALSE),"")</f>
        <v>600298.SH</v>
      </c>
      <c r="E55" s="0" t="str">
        <f>IFERROR(VLOOKUP(LEFT($B55,6)&amp;"*",[2]可交债!$A:$H,4,FALSE),"")</f>
        <v>安琪酵母</v>
      </c>
      <c r="F55" s="7">
        <f>[1]sheet1!M18</f>
        <v>1005</v>
      </c>
      <c r="G55" s="7">
        <f>[1]sheet1!L18*100</f>
        <v>100000</v>
      </c>
      <c r="H55" s="7">
        <f>IF(G55=0,"",ROUND(F55*10000/G55,4))</f>
        <v>100.5</v>
      </c>
      <c r="I55" s="8">
        <f>IFERROR(VLOOKUP(LEFT($B55,6)&amp;"*",[2]可交债!$A:$H,5,FALSE),"")</f>
        <v>0.01</v>
      </c>
      <c r="J55" s="8">
        <f>IFERROR(VLOOKUP(LEFT($B55,6)&amp;"*",[2]可交债!$A:$H,6,FALSE),"")</f>
        <v>0</v>
      </c>
      <c r="K55" s="8">
        <f>IFERROR(VLOOKUP(LEFT($B55,6)&amp;"*",[2]可交债!$A:$H,7,FALSE),"")</f>
        <v>60</v>
      </c>
      <c r="L55" s="8">
        <f>IFERROR(VLOOKUP(LEFT($B55,6)&amp;"*",[2]可交债!$A:$H,8,FALSE),"")</f>
        <v>41.890000000000001</v>
      </c>
      <c r="M55" s="8">
        <f>IFERROR(VLOOKUP(LEFT($B55,6),[4]中证可交换债券估值!$A:$H,5,FALSE),"")</f>
        <v>102.452600000000004</v>
      </c>
      <c r="N55" s="8">
        <f>IFERROR(VLOOKUP(LEFT($B55,6),[4]中证可交换债券估值!$A:$H,6,FALSE),"")</f>
        <v>7.3307</v>
      </c>
      <c r="O55" s="5">
        <f>IFERROR(VLOOKUP(LEFT($B55,6),[4]中证可交换债券估值!$A:$H,7,FALSE),"")</f>
        <v>95.121899999999997</v>
      </c>
    </row>
    <row r="56">
      <c r="A56" s="0" t="str">
        <f>TEXT([1]sheet1!B19,"yyyy-mm-dd")</f>
        <v>2026-08-17</v>
      </c>
      <c r="B56" s="0" t="str">
        <f>IF(LEN(TRIM([1]sheet1!D19))=6,TRIM([1]sheet1!D19)&amp;".SZ",TRIM([1]sheet1!D19))</f>
        <v>137208.SH</v>
      </c>
      <c r="C56" s="0" t="str">
        <f>IFERROR(VLOOKUP(LEFT($B56,6)&amp;"*",[2]可交债!$A:$H,2,FALSE),"")</f>
        <v>26AQKEB</v>
      </c>
      <c r="D56" s="0" t="str">
        <f>IFERROR(VLOOKUP(LEFT($B56,6)&amp;"*",[2]可交债!$A:$H,3,FALSE),"")</f>
        <v>600298.SH</v>
      </c>
      <c r="E56" s="0" t="str">
        <f>IFERROR(VLOOKUP(LEFT($B56,6)&amp;"*",[2]可交债!$A:$H,4,FALSE),"")</f>
        <v>安琪酵母</v>
      </c>
      <c r="F56" s="7">
        <f>[1]sheet1!M19</f>
        <v>1005</v>
      </c>
      <c r="G56" s="7">
        <f>[1]sheet1!L19*100</f>
        <v>100000</v>
      </c>
      <c r="H56" s="7">
        <f>IF(G56=0,"",ROUND(F56*10000/G56,4))</f>
        <v>100.5</v>
      </c>
      <c r="I56" s="8">
        <f>IFERROR(VLOOKUP(LEFT($B56,6)&amp;"*",[2]可交债!$A:$H,5,FALSE),"")</f>
        <v>0.01</v>
      </c>
      <c r="J56" s="8">
        <f>IFERROR(VLOOKUP(LEFT($B56,6)&amp;"*",[2]可交债!$A:$H,6,FALSE),"")</f>
        <v>0</v>
      </c>
      <c r="K56" s="8">
        <f>IFERROR(VLOOKUP(LEFT($B56,6)&amp;"*",[2]可交债!$A:$H,7,FALSE),"")</f>
        <v>60</v>
      </c>
      <c r="L56" s="8">
        <f>IFERROR(VLOOKUP(LEFT($B56,6)&amp;"*",[2]可交债!$A:$H,8,FALSE),"")</f>
        <v>41.890000000000001</v>
      </c>
      <c r="M56" s="8">
        <f>IFERROR(VLOOKUP(LEFT($B56,6),[4]中证可交换债券估值!$A:$H,5,FALSE),"")</f>
        <v>102.452600000000004</v>
      </c>
      <c r="N56" s="8">
        <f>IFERROR(VLOOKUP(LEFT($B56,6),[4]中证可交换债券估值!$A:$H,6,FALSE),"")</f>
        <v>7.3307</v>
      </c>
      <c r="O56" s="5">
        <f>IFERROR(VLOOKUP(LEFT($B56,6),[4]中证可交换债券估值!$A:$H,7,FALSE),"")</f>
        <v>95.121899999999997</v>
      </c>
    </row>
    <row r="57">
      <c r="A57" s="0" t="str">
        <f>TEXT([1]sheet1!B20,"yyyy-mm-dd")</f>
        <v>2026-08-17</v>
      </c>
      <c r="B57" s="0" t="str">
        <f>IF(LEN(TRIM([1]sheet1!D20))=6,TRIM([1]sheet1!D20)&amp;".SZ",TRIM([1]sheet1!D20))</f>
        <v>137208.SH</v>
      </c>
      <c r="C57" s="0" t="str">
        <f>IFERROR(VLOOKUP(LEFT($B57,6)&amp;"*",[2]可交债!$A:$H,2,FALSE),"")</f>
        <v>26AQKEB</v>
      </c>
      <c r="D57" s="0" t="str">
        <f>IFERROR(VLOOKUP(LEFT($B57,6)&amp;"*",[2]可交债!$A:$H,3,FALSE),"")</f>
        <v>600298.SH</v>
      </c>
      <c r="E57" s="0" t="str">
        <f>IFERROR(VLOOKUP(LEFT($B57,6)&amp;"*",[2]可交债!$A:$H,4,FALSE),"")</f>
        <v>安琪酵母</v>
      </c>
      <c r="F57" s="7">
        <f>[1]sheet1!M20</f>
        <v>535</v>
      </c>
      <c r="G57" s="7">
        <f>[1]sheet1!L20*100</f>
        <v>50000</v>
      </c>
      <c r="H57" s="7">
        <f>IF(G57=0,"",ROUND(F57*10000/G57,4))</f>
        <v>107</v>
      </c>
      <c r="I57" s="8">
        <f>IFERROR(VLOOKUP(LEFT($B57,6)&amp;"*",[2]可交债!$A:$H,5,FALSE),"")</f>
        <v>0.01</v>
      </c>
      <c r="J57" s="8">
        <f>IFERROR(VLOOKUP(LEFT($B57,6)&amp;"*",[2]可交债!$A:$H,6,FALSE),"")</f>
        <v>0</v>
      </c>
      <c r="K57" s="8">
        <f>IFERROR(VLOOKUP(LEFT($B57,6)&amp;"*",[2]可交债!$A:$H,7,FALSE),"")</f>
        <v>60</v>
      </c>
      <c r="L57" s="8">
        <f>IFERROR(VLOOKUP(LEFT($B57,6)&amp;"*",[2]可交债!$A:$H,8,FALSE),"")</f>
        <v>41.890000000000001</v>
      </c>
      <c r="M57" s="8">
        <f>IFERROR(VLOOKUP(LEFT($B57,6),[4]中证可交换债券估值!$A:$H,5,FALSE),"")</f>
        <v>102.452600000000004</v>
      </c>
      <c r="N57" s="8">
        <f>IFERROR(VLOOKUP(LEFT($B57,6),[4]中证可交换债券估值!$A:$H,6,FALSE),"")</f>
        <v>7.3307</v>
      </c>
      <c r="O57" s="5">
        <f>IFERROR(VLOOKUP(LEFT($B57,6),[4]中证可交换债券估值!$A:$H,7,FALSE),"")</f>
        <v>95.121899999999997</v>
      </c>
    </row>
    <row r="58">
      <c r="A58" s="0" t="str">
        <f>TEXT([1]sheet1!B21,"yyyy-mm-dd")</f>
        <v>2026-08-17</v>
      </c>
      <c r="B58" s="0" t="str">
        <f>IF(LEN(TRIM([1]sheet1!D21))=6,TRIM([1]sheet1!D21)&amp;".SZ",TRIM([1]sheet1!D21))</f>
        <v>137208.SH</v>
      </c>
      <c r="C58" s="0" t="str">
        <f>IFERROR(VLOOKUP(LEFT($B58,6)&amp;"*",[2]可交债!$A:$H,2,FALSE),"")</f>
        <v>26AQKEB</v>
      </c>
      <c r="D58" s="0" t="str">
        <f>IFERROR(VLOOKUP(LEFT($B58,6)&amp;"*",[2]可交债!$A:$H,3,FALSE),"")</f>
        <v>600298.SH</v>
      </c>
      <c r="E58" s="0" t="str">
        <f>IFERROR(VLOOKUP(LEFT($B58,6)&amp;"*",[2]可交债!$A:$H,4,FALSE),"")</f>
        <v>安琪酵母</v>
      </c>
      <c r="F58" s="7">
        <f>[1]sheet1!M21</f>
        <v>856</v>
      </c>
      <c r="G58" s="7">
        <f>[1]sheet1!L21*100</f>
        <v>80000</v>
      </c>
      <c r="H58" s="7">
        <f>IF(G58=0,"",ROUND(F58*10000/G58,4))</f>
        <v>107</v>
      </c>
      <c r="I58" s="8">
        <f>IFERROR(VLOOKUP(LEFT($B58,6)&amp;"*",[2]可交债!$A:$H,5,FALSE),"")</f>
        <v>0.01</v>
      </c>
      <c r="J58" s="8">
        <f>IFERROR(VLOOKUP(LEFT($B58,6)&amp;"*",[2]可交债!$A:$H,6,FALSE),"")</f>
        <v>0</v>
      </c>
      <c r="K58" s="8">
        <f>IFERROR(VLOOKUP(LEFT($B58,6)&amp;"*",[2]可交债!$A:$H,7,FALSE),"")</f>
        <v>60</v>
      </c>
      <c r="L58" s="8">
        <f>IFERROR(VLOOKUP(LEFT($B58,6)&amp;"*",[2]可交债!$A:$H,8,FALSE),"")</f>
        <v>41.890000000000001</v>
      </c>
      <c r="M58" s="8">
        <f>IFERROR(VLOOKUP(LEFT($B58,6),[4]中证可交换债券估值!$A:$H,5,FALSE),"")</f>
        <v>102.452600000000004</v>
      </c>
      <c r="N58" s="8">
        <f>IFERROR(VLOOKUP(LEFT($B58,6),[4]中证可交换债券估值!$A:$H,6,FALSE),"")</f>
        <v>7.3307</v>
      </c>
      <c r="O58" s="5">
        <f>IFERROR(VLOOKUP(LEFT($B58,6),[4]中证可交换债券估值!$A:$H,7,FALSE),"")</f>
        <v>95.121899999999997</v>
      </c>
    </row>
    <row r="59">
      <c r="A59" s="0" t="str">
        <f>TEXT([1]sheet1!B22,"yyyy-mm-dd")</f>
        <v>2026-08-17</v>
      </c>
      <c r="B59" s="0" t="str">
        <f>IF(LEN(TRIM([1]sheet1!D22))=6,TRIM([1]sheet1!D22)&amp;".SZ",TRIM([1]sheet1!D22))</f>
        <v>137208.SH</v>
      </c>
      <c r="C59" s="0" t="str">
        <f>IFERROR(VLOOKUP(LEFT($B59,6)&amp;"*",[2]可交债!$A:$H,2,FALSE),"")</f>
        <v>26AQKEB</v>
      </c>
      <c r="D59" s="0" t="str">
        <f>IFERROR(VLOOKUP(LEFT($B59,6)&amp;"*",[2]可交债!$A:$H,3,FALSE),"")</f>
        <v>600298.SH</v>
      </c>
      <c r="E59" s="0" t="str">
        <f>IFERROR(VLOOKUP(LEFT($B59,6)&amp;"*",[2]可交债!$A:$H,4,FALSE),"")</f>
        <v>安琪酵母</v>
      </c>
      <c r="F59" s="7">
        <f>[1]sheet1!M22</f>
        <v>535</v>
      </c>
      <c r="G59" s="7">
        <f>[1]sheet1!L22*100</f>
        <v>50000</v>
      </c>
      <c r="H59" s="7">
        <f>IF(G59=0,"",ROUND(F59*10000/G59,4))</f>
        <v>107</v>
      </c>
      <c r="I59" s="8">
        <f>IFERROR(VLOOKUP(LEFT($B59,6)&amp;"*",[2]可交债!$A:$H,5,FALSE),"")</f>
        <v>0.01</v>
      </c>
      <c r="J59" s="8">
        <f>IFERROR(VLOOKUP(LEFT($B59,6)&amp;"*",[2]可交债!$A:$H,6,FALSE),"")</f>
        <v>0</v>
      </c>
      <c r="K59" s="8">
        <f>IFERROR(VLOOKUP(LEFT($B59,6)&amp;"*",[2]可交债!$A:$H,7,FALSE),"")</f>
        <v>60</v>
      </c>
      <c r="L59" s="8">
        <f>IFERROR(VLOOKUP(LEFT($B59,6)&amp;"*",[2]可交债!$A:$H,8,FALSE),"")</f>
        <v>41.890000000000001</v>
      </c>
      <c r="M59" s="8">
        <f>IFERROR(VLOOKUP(LEFT($B59,6),[4]中证可交换债券估值!$A:$H,5,FALSE),"")</f>
        <v>102.452600000000004</v>
      </c>
      <c r="N59" s="8">
        <f>IFERROR(VLOOKUP(LEFT($B59,6),[4]中证可交换债券估值!$A:$H,6,FALSE),"")</f>
        <v>7.3307</v>
      </c>
      <c r="O59" s="5">
        <f>IFERROR(VLOOKUP(LEFT($B59,6),[4]中证可交换债券估值!$A:$H,7,FALSE),"")</f>
        <v>95.121899999999997</v>
      </c>
    </row>
    <row r="60">
      <c r="A60" s="0" t="str">
        <f>TEXT([1]sheet1!B23,"yyyy-mm-dd")</f>
        <v>2026-08-17</v>
      </c>
      <c r="B60" s="0" t="str">
        <f>IF(LEN(TRIM([1]sheet1!D23))=6,TRIM([1]sheet1!D23)&amp;".SZ",TRIM([1]sheet1!D23))</f>
        <v>137208.SH</v>
      </c>
      <c r="C60" s="0" t="str">
        <f>IFERROR(VLOOKUP(LEFT($B60,6)&amp;"*",[2]可交债!$A:$H,2,FALSE),"")</f>
        <v>26AQKEB</v>
      </c>
      <c r="D60" s="0" t="str">
        <f>IFERROR(VLOOKUP(LEFT($B60,6)&amp;"*",[2]可交债!$A:$H,3,FALSE),"")</f>
        <v>600298.SH</v>
      </c>
      <c r="E60" s="0" t="str">
        <f>IFERROR(VLOOKUP(LEFT($B60,6)&amp;"*",[2]可交债!$A:$H,4,FALSE),"")</f>
        <v>安琪酵母</v>
      </c>
      <c r="F60" s="7">
        <f>[1]sheet1!M23</f>
        <v>428</v>
      </c>
      <c r="G60" s="7">
        <f>[1]sheet1!L23*100</f>
        <v>40000</v>
      </c>
      <c r="H60" s="7">
        <f>IF(G60=0,"",ROUND(F60*10000/G60,4))</f>
        <v>107</v>
      </c>
      <c r="I60" s="8">
        <f>IFERROR(VLOOKUP(LEFT($B60,6)&amp;"*",[2]可交债!$A:$H,5,FALSE),"")</f>
        <v>0.01</v>
      </c>
      <c r="J60" s="8">
        <f>IFERROR(VLOOKUP(LEFT($B60,6)&amp;"*",[2]可交债!$A:$H,6,FALSE),"")</f>
        <v>0</v>
      </c>
      <c r="K60" s="8">
        <f>IFERROR(VLOOKUP(LEFT($B60,6)&amp;"*",[2]可交债!$A:$H,7,FALSE),"")</f>
        <v>60</v>
      </c>
      <c r="L60" s="8">
        <f>IFERROR(VLOOKUP(LEFT($B60,6)&amp;"*",[2]可交债!$A:$H,8,FALSE),"")</f>
        <v>41.890000000000001</v>
      </c>
      <c r="M60" s="8">
        <f>IFERROR(VLOOKUP(LEFT($B60,6),[4]中证可交换债券估值!$A:$H,5,FALSE),"")</f>
        <v>102.452600000000004</v>
      </c>
      <c r="N60" s="8">
        <f>IFERROR(VLOOKUP(LEFT($B60,6),[4]中证可交换债券估值!$A:$H,6,FALSE),"")</f>
        <v>7.3307</v>
      </c>
      <c r="O60" s="5">
        <f>IFERROR(VLOOKUP(LEFT($B60,6),[4]中证可交换债券估值!$A:$H,7,FALSE),"")</f>
        <v>95.121899999999997</v>
      </c>
    </row>
    <row r="61">
      <c r="A61" s="0" t="str">
        <f>TEXT([1]sheet1!B24,"yyyy-mm-dd")</f>
        <v>2026-08-17</v>
      </c>
      <c r="B61" s="0" t="str">
        <f>IF(LEN(TRIM([1]sheet1!D24))=6,TRIM([1]sheet1!D24)&amp;".SZ",TRIM([1]sheet1!D24))</f>
        <v>137208.SH</v>
      </c>
      <c r="C61" s="0" t="str">
        <f>IFERROR(VLOOKUP(LEFT($B61,6)&amp;"*",[2]可交债!$A:$H,2,FALSE),"")</f>
        <v>26AQKEB</v>
      </c>
      <c r="D61" s="0" t="str">
        <f>IFERROR(VLOOKUP(LEFT($B61,6)&amp;"*",[2]可交债!$A:$H,3,FALSE),"")</f>
        <v>600298.SH</v>
      </c>
      <c r="E61" s="0" t="str">
        <f>IFERROR(VLOOKUP(LEFT($B61,6)&amp;"*",[2]可交债!$A:$H,4,FALSE),"")</f>
        <v>安琪酵母</v>
      </c>
      <c r="F61" s="7">
        <f>[1]sheet1!M24</f>
        <v>642</v>
      </c>
      <c r="G61" s="7">
        <f>[1]sheet1!L24*100</f>
        <v>60000</v>
      </c>
      <c r="H61" s="7">
        <f>IF(G61=0,"",ROUND(F61*10000/G61,4))</f>
        <v>107</v>
      </c>
      <c r="I61" s="8">
        <f>IFERROR(VLOOKUP(LEFT($B61,6)&amp;"*",[2]可交债!$A:$H,5,FALSE),"")</f>
        <v>0.01</v>
      </c>
      <c r="J61" s="8">
        <f>IFERROR(VLOOKUP(LEFT($B61,6)&amp;"*",[2]可交债!$A:$H,6,FALSE),"")</f>
        <v>0</v>
      </c>
      <c r="K61" s="8">
        <f>IFERROR(VLOOKUP(LEFT($B61,6)&amp;"*",[2]可交债!$A:$H,7,FALSE),"")</f>
        <v>60</v>
      </c>
      <c r="L61" s="8">
        <f>IFERROR(VLOOKUP(LEFT($B61,6)&amp;"*",[2]可交债!$A:$H,8,FALSE),"")</f>
        <v>41.890000000000001</v>
      </c>
      <c r="M61" s="8">
        <f>IFERROR(VLOOKUP(LEFT($B61,6),[4]中证可交换债券估值!$A:$H,5,FALSE),"")</f>
        <v>102.452600000000004</v>
      </c>
      <c r="N61" s="8">
        <f>IFERROR(VLOOKUP(LEFT($B61,6),[4]中证可交换债券估值!$A:$H,6,FALSE),"")</f>
        <v>7.3307</v>
      </c>
      <c r="O61" s="5">
        <f>IFERROR(VLOOKUP(LEFT($B61,6),[4]中证可交换债券估值!$A:$H,7,FALSE),"")</f>
        <v>95.121899999999997</v>
      </c>
    </row>
    <row r="62">
      <c r="A62" s="0" t="str">
        <f>TEXT([1]sheet1!B25,"yyyy-mm-dd")</f>
        <v>2026-08-17</v>
      </c>
      <c r="B62" s="0" t="str">
        <f>IF(LEN(TRIM([1]sheet1!D25))=6,TRIM([1]sheet1!D25)&amp;".SZ",TRIM([1]sheet1!D25))</f>
        <v>137208.SH</v>
      </c>
      <c r="C62" s="0" t="str">
        <f>IFERROR(VLOOKUP(LEFT($B62,6)&amp;"*",[2]可交债!$A:$H,2,FALSE),"")</f>
        <v>26AQKEB</v>
      </c>
      <c r="D62" s="0" t="str">
        <f>IFERROR(VLOOKUP(LEFT($B62,6)&amp;"*",[2]可交债!$A:$H,3,FALSE),"")</f>
        <v>600298.SH</v>
      </c>
      <c r="E62" s="0" t="str">
        <f>IFERROR(VLOOKUP(LEFT($B62,6)&amp;"*",[2]可交债!$A:$H,4,FALSE),"")</f>
        <v>安琪酵母</v>
      </c>
      <c r="F62" s="7">
        <f>[1]sheet1!M25</f>
        <v>963</v>
      </c>
      <c r="G62" s="7">
        <f>[1]sheet1!L25*100</f>
        <v>90000</v>
      </c>
      <c r="H62" s="7">
        <f>IF(G62=0,"",ROUND(F62*10000/G62,4))</f>
        <v>107</v>
      </c>
      <c r="I62" s="8">
        <f>IFERROR(VLOOKUP(LEFT($B62,6)&amp;"*",[2]可交债!$A:$H,5,FALSE),"")</f>
        <v>0.01</v>
      </c>
      <c r="J62" s="8">
        <f>IFERROR(VLOOKUP(LEFT($B62,6)&amp;"*",[2]可交债!$A:$H,6,FALSE),"")</f>
        <v>0</v>
      </c>
      <c r="K62" s="8">
        <f>IFERROR(VLOOKUP(LEFT($B62,6)&amp;"*",[2]可交债!$A:$H,7,FALSE),"")</f>
        <v>60</v>
      </c>
      <c r="L62" s="8">
        <f>IFERROR(VLOOKUP(LEFT($B62,6)&amp;"*",[2]可交债!$A:$H,8,FALSE),"")</f>
        <v>41.890000000000001</v>
      </c>
      <c r="M62" s="8">
        <f>IFERROR(VLOOKUP(LEFT($B62,6),[4]中证可交换债券估值!$A:$H,5,FALSE),"")</f>
        <v>102.452600000000004</v>
      </c>
      <c r="N62" s="8">
        <f>IFERROR(VLOOKUP(LEFT($B62,6),[4]中证可交换债券估值!$A:$H,6,FALSE),"")</f>
        <v>7.3307</v>
      </c>
      <c r="O62" s="5">
        <f>IFERROR(VLOOKUP(LEFT($B62,6),[4]中证可交换债券估值!$A:$H,7,FALSE),"")</f>
        <v>95.121899999999997</v>
      </c>
    </row>
    <row r="63">
      <c r="A63" s="0" t="str">
        <f>TEXT([1]sheet1!B26,"yyyy-mm-dd")</f>
        <v>2026-08-17</v>
      </c>
      <c r="B63" s="0" t="str">
        <f>IF(LEN(TRIM([1]sheet1!D26))=6,TRIM([1]sheet1!D26)&amp;".SZ",TRIM([1]sheet1!D26))</f>
        <v>137208.SH</v>
      </c>
      <c r="C63" s="0" t="str">
        <f>IFERROR(VLOOKUP(LEFT($B63,6)&amp;"*",[2]可交债!$A:$H,2,FALSE),"")</f>
        <v>26AQKEB</v>
      </c>
      <c r="D63" s="0" t="str">
        <f>IFERROR(VLOOKUP(LEFT($B63,6)&amp;"*",[2]可交债!$A:$H,3,FALSE),"")</f>
        <v>600298.SH</v>
      </c>
      <c r="E63" s="0" t="str">
        <f>IFERROR(VLOOKUP(LEFT($B63,6)&amp;"*",[2]可交债!$A:$H,4,FALSE),"")</f>
        <v>安琪酵母</v>
      </c>
      <c r="F63" s="7">
        <f>[1]sheet1!M26</f>
        <v>1070</v>
      </c>
      <c r="G63" s="7">
        <f>[1]sheet1!L26*100</f>
        <v>100000</v>
      </c>
      <c r="H63" s="7">
        <f>IF(G63=0,"",ROUND(F63*10000/G63,4))</f>
        <v>107</v>
      </c>
      <c r="I63" s="8">
        <f>IFERROR(VLOOKUP(LEFT($B63,6)&amp;"*",[2]可交债!$A:$H,5,FALSE),"")</f>
        <v>0.01</v>
      </c>
      <c r="J63" s="8">
        <f>IFERROR(VLOOKUP(LEFT($B63,6)&amp;"*",[2]可交债!$A:$H,6,FALSE),"")</f>
        <v>0</v>
      </c>
      <c r="K63" s="8">
        <f>IFERROR(VLOOKUP(LEFT($B63,6)&amp;"*",[2]可交债!$A:$H,7,FALSE),"")</f>
        <v>60</v>
      </c>
      <c r="L63" s="8">
        <f>IFERROR(VLOOKUP(LEFT($B63,6)&amp;"*",[2]可交债!$A:$H,8,FALSE),"")</f>
        <v>41.890000000000001</v>
      </c>
      <c r="M63" s="8">
        <f>IFERROR(VLOOKUP(LEFT($B63,6),[4]中证可交换债券估值!$A:$H,5,FALSE),"")</f>
        <v>102.452600000000004</v>
      </c>
      <c r="N63" s="8">
        <f>IFERROR(VLOOKUP(LEFT($B63,6),[4]中证可交换债券估值!$A:$H,6,FALSE),"")</f>
        <v>7.3307</v>
      </c>
      <c r="O63" s="5">
        <f>IFERROR(VLOOKUP(LEFT($B63,6),[4]中证可交换债券估值!$A:$H,7,FALSE),"")</f>
        <v>95.121899999999997</v>
      </c>
    </row>
    <row r="64">
      <c r="A64" s="0" t="str">
        <f>TEXT([1]sheet1!B27,"yyyy-mm-dd")</f>
        <v>2026-08-17</v>
      </c>
      <c r="B64" s="0" t="str">
        <f>IF(LEN(TRIM([1]sheet1!D27))=6,TRIM([1]sheet1!D27)&amp;".SZ",TRIM([1]sheet1!D27))</f>
        <v>137208.SH</v>
      </c>
      <c r="C64" s="0" t="str">
        <f>IFERROR(VLOOKUP(LEFT($B64,6)&amp;"*",[2]可交债!$A:$H,2,FALSE),"")</f>
        <v>26AQKEB</v>
      </c>
      <c r="D64" s="0" t="str">
        <f>IFERROR(VLOOKUP(LEFT($B64,6)&amp;"*",[2]可交债!$A:$H,3,FALSE),"")</f>
        <v>600298.SH</v>
      </c>
      <c r="E64" s="0" t="str">
        <f>IFERROR(VLOOKUP(LEFT($B64,6)&amp;"*",[2]可交债!$A:$H,4,FALSE),"")</f>
        <v>安琪酵母</v>
      </c>
      <c r="F64" s="7">
        <f>[1]sheet1!M27</f>
        <v>1005.5</v>
      </c>
      <c r="G64" s="7">
        <f>[1]sheet1!L27*100</f>
        <v>100000</v>
      </c>
      <c r="H64" s="7">
        <f>IF(G64=0,"",ROUND(F64*10000/G64,4))</f>
        <v>100.549999999999997</v>
      </c>
      <c r="I64" s="8">
        <f>IFERROR(VLOOKUP(LEFT($B64,6)&amp;"*",[2]可交债!$A:$H,5,FALSE),"")</f>
        <v>0.01</v>
      </c>
      <c r="J64" s="8">
        <f>IFERROR(VLOOKUP(LEFT($B64,6)&amp;"*",[2]可交债!$A:$H,6,FALSE),"")</f>
        <v>0</v>
      </c>
      <c r="K64" s="8">
        <f>IFERROR(VLOOKUP(LEFT($B64,6)&amp;"*",[2]可交债!$A:$H,7,FALSE),"")</f>
        <v>60</v>
      </c>
      <c r="L64" s="8">
        <f>IFERROR(VLOOKUP(LEFT($B64,6)&amp;"*",[2]可交债!$A:$H,8,FALSE),"")</f>
        <v>41.890000000000001</v>
      </c>
      <c r="M64" s="8">
        <f>IFERROR(VLOOKUP(LEFT($B64,6),[4]中证可交换债券估值!$A:$H,5,FALSE),"")</f>
        <v>102.452600000000004</v>
      </c>
      <c r="N64" s="8">
        <f>IFERROR(VLOOKUP(LEFT($B64,6),[4]中证可交换债券估值!$A:$H,6,FALSE),"")</f>
        <v>7.3307</v>
      </c>
      <c r="O64" s="5">
        <f>IFERROR(VLOOKUP(LEFT($B64,6),[4]中证可交换债券估值!$A:$H,7,FALSE),"")</f>
        <v>95.121899999999997</v>
      </c>
    </row>
    <row r="65">
      <c r="A65" s="0" t="str">
        <f>TEXT([1]sheet1!B28,"yyyy-mm-dd")</f>
        <v>2026-08-17</v>
      </c>
      <c r="B65" s="0" t="str">
        <f>IF(LEN(TRIM([1]sheet1!D28))=6,TRIM([1]sheet1!D28)&amp;".SZ",TRIM([1]sheet1!D28))</f>
        <v>137208.SH</v>
      </c>
      <c r="C65" s="0" t="str">
        <f>IFERROR(VLOOKUP(LEFT($B65,6)&amp;"*",[2]可交债!$A:$H,2,FALSE),"")</f>
        <v>26AQKEB</v>
      </c>
      <c r="D65" s="0" t="str">
        <f>IFERROR(VLOOKUP(LEFT($B65,6)&amp;"*",[2]可交债!$A:$H,3,FALSE),"")</f>
        <v>600298.SH</v>
      </c>
      <c r="E65" s="0" t="str">
        <f>IFERROR(VLOOKUP(LEFT($B65,6)&amp;"*",[2]可交债!$A:$H,4,FALSE),"")</f>
        <v>安琪酵母</v>
      </c>
      <c r="F65" s="7">
        <f>[1]sheet1!M28</f>
        <v>1005.5</v>
      </c>
      <c r="G65" s="7">
        <f>[1]sheet1!L28*100</f>
        <v>100000</v>
      </c>
      <c r="H65" s="7">
        <f>IF(G65=0,"",ROUND(F65*10000/G65,4))</f>
        <v>100.549999999999997</v>
      </c>
      <c r="I65" s="8">
        <f>IFERROR(VLOOKUP(LEFT($B65,6)&amp;"*",[2]可交债!$A:$H,5,FALSE),"")</f>
        <v>0.01</v>
      </c>
      <c r="J65" s="8">
        <f>IFERROR(VLOOKUP(LEFT($B65,6)&amp;"*",[2]可交债!$A:$H,6,FALSE),"")</f>
        <v>0</v>
      </c>
      <c r="K65" s="8">
        <f>IFERROR(VLOOKUP(LEFT($B65,6)&amp;"*",[2]可交债!$A:$H,7,FALSE),"")</f>
        <v>60</v>
      </c>
      <c r="L65" s="8">
        <f>IFERROR(VLOOKUP(LEFT($B65,6)&amp;"*",[2]可交债!$A:$H,8,FALSE),"")</f>
        <v>41.890000000000001</v>
      </c>
      <c r="M65" s="8">
        <f>IFERROR(VLOOKUP(LEFT($B65,6),[4]中证可交换债券估值!$A:$H,5,FALSE),"")</f>
        <v>102.452600000000004</v>
      </c>
      <c r="N65" s="8">
        <f>IFERROR(VLOOKUP(LEFT($B65,6),[4]中证可交换债券估值!$A:$H,6,FALSE),"")</f>
        <v>7.3307</v>
      </c>
      <c r="O65" s="5">
        <f>IFERROR(VLOOKUP(LEFT($B65,6),[4]中证可交换债券估值!$A:$H,7,FALSE),"")</f>
        <v>95.121899999999997</v>
      </c>
    </row>
    <row r="66">
      <c r="A66" s="0" t="str">
        <f>TEXT([1]sheet1!B29,"yyyy-mm-dd")</f>
        <v>2026-08-17</v>
      </c>
      <c r="B66" s="0" t="str">
        <f>IF(LEN(TRIM([1]sheet1!D29))=6,TRIM([1]sheet1!D29)&amp;".SZ",TRIM([1]sheet1!D29))</f>
        <v>137208.SH</v>
      </c>
      <c r="C66" s="0" t="str">
        <f>IFERROR(VLOOKUP(LEFT($B66,6)&amp;"*",[2]可交债!$A:$H,2,FALSE),"")</f>
        <v>26AQKEB</v>
      </c>
      <c r="D66" s="0" t="str">
        <f>IFERROR(VLOOKUP(LEFT($B66,6)&amp;"*",[2]可交债!$A:$H,3,FALSE),"")</f>
        <v>600298.SH</v>
      </c>
      <c r="E66" s="0" t="str">
        <f>IFERROR(VLOOKUP(LEFT($B66,6)&amp;"*",[2]可交债!$A:$H,4,FALSE),"")</f>
        <v>安琪酵母</v>
      </c>
      <c r="F66" s="7">
        <f>[1]sheet1!M29</f>
        <v>963</v>
      </c>
      <c r="G66" s="7">
        <f>[1]sheet1!L29*100</f>
        <v>90000</v>
      </c>
      <c r="H66" s="7">
        <f>IF(G66=0,"",ROUND(F66*10000/G66,4))</f>
        <v>107</v>
      </c>
      <c r="I66" s="8">
        <f>IFERROR(VLOOKUP(LEFT($B66,6)&amp;"*",[2]可交债!$A:$H,5,FALSE),"")</f>
        <v>0.01</v>
      </c>
      <c r="J66" s="8">
        <f>IFERROR(VLOOKUP(LEFT($B66,6)&amp;"*",[2]可交债!$A:$H,6,FALSE),"")</f>
        <v>0</v>
      </c>
      <c r="K66" s="8">
        <f>IFERROR(VLOOKUP(LEFT($B66,6)&amp;"*",[2]可交债!$A:$H,7,FALSE),"")</f>
        <v>60</v>
      </c>
      <c r="L66" s="8">
        <f>IFERROR(VLOOKUP(LEFT($B66,6)&amp;"*",[2]可交债!$A:$H,8,FALSE),"")</f>
        <v>41.890000000000001</v>
      </c>
      <c r="M66" s="8">
        <f>IFERROR(VLOOKUP(LEFT($B66,6),[4]中证可交换债券估值!$A:$H,5,FALSE),"")</f>
        <v>102.452600000000004</v>
      </c>
      <c r="N66" s="8">
        <f>IFERROR(VLOOKUP(LEFT($B66,6),[4]中证可交换债券估值!$A:$H,6,FALSE),"")</f>
        <v>7.3307</v>
      </c>
      <c r="O66" s="5">
        <f>IFERROR(VLOOKUP(LEFT($B66,6),[4]中证可交换债券估值!$A:$H,7,FALSE),"")</f>
        <v>95.121899999999997</v>
      </c>
    </row>
    <row r="67">
      <c r="A67" s="0" t="str">
        <f>TEXT([1]sheet1!$B$3,"yyyy-mm-dd")</f>
        <v>2026-08-17</v>
      </c>
      <c r="B67" s="0" t="str">
        <f>IF(LEN(TRIM([2]可交债!A42))=6,TRIM([2]可交债!A42)&amp;".SZ",TRIM([2]可交债!A42))</f>
        <v>137202.SH</v>
      </c>
      <c r="C67" s="0" t="str">
        <f>IFERROR(VLOOKUP(LEFT($B67,6)&amp;"*",[2]可交债!$A:$H,2,FALSE),"")</f>
        <v>26GXKEB1</v>
      </c>
      <c r="D67" s="0" t="str">
        <f>IFERROR(VLOOKUP(LEFT($B67,6)&amp;"*",[2]可交债!$A:$H,3,FALSE),"")</f>
        <v>600183.SH</v>
      </c>
      <c r="E67" s="0" t="str">
        <f>IFERROR(VLOOKUP(LEFT($B67,6)&amp;"*",[2]可交债!$A:$H,4,FALSE),"")</f>
        <v>生益科技</v>
      </c>
      <c r="F67" s="7">
        <f>SUMPRODUCT((LEFT(TRIM('[3]现券交易信息（逐笔）'!$B$2:$B$500),6)=LEFT($B67,6))*(IFERROR(--SUBSTITUTE('[3]现券交易信息（逐笔）'!$G$2:$G$500,",",""),0)))+SUMIF([1]sheet1!$D$2:$D$500,LEFT($B67,6)&amp;"*",[1]sheet1!$M$2:$M$500)</f>
        <v>0</v>
      </c>
      <c r="G67" s="7">
        <f>SUMPRODUCT((LEFT(TRIM('[3]现券交易信息（逐笔）'!$B$2:$B$500),6)=LEFT($B67,6))*(IFERROR(--SUBSTITUTE('[3]现券交易信息（逐笔）'!$F$2:$F$500,",",""),0)*100))+SUMIF([1]sheet1!$D$2:$D$500,LEFT($B67,6)&amp;"*",[1]sheet1!$L$2:$L$500)*100</f>
        <v>0</v>
      </c>
      <c r="H67" s="7" t="str">
        <f>IF(G67=0,"",ROUND(F67*10000/G67,4))</f>
        <v/>
      </c>
      <c r="I67" s="8">
        <f>IFERROR(VLOOKUP(LEFT($B67,6)&amp;"*",[2]可交债!$A:$H,5,FALSE),"")</f>
        <v>0.01</v>
      </c>
      <c r="J67" s="8">
        <f>IFERROR(VLOOKUP(LEFT($B67,6)&amp;"*",[2]可交债!$A:$H,6,FALSE),"")</f>
        <v>0</v>
      </c>
      <c r="K67" s="8">
        <f>IFERROR(VLOOKUP(LEFT($B67,6)&amp;"*",[2]可交债!$A:$H,7,FALSE),"")</f>
        <v>65.430000000000007</v>
      </c>
      <c r="L67" s="8">
        <f>IFERROR(VLOOKUP(LEFT($B67,6)&amp;"*",[2]可交债!$A:$H,8,FALSE),"")</f>
        <v>144.490000000000009</v>
      </c>
      <c r="M67" s="8">
        <f>IFERROR(VLOOKUP(LEFT($B67,6),[4]中证可交换债券估值!$A:$H,5,FALSE),"")</f>
        <v>200.164500000000004</v>
      </c>
      <c r="N67" s="8">
        <f>IFERROR(VLOOKUP(LEFT($B67,6),[4]中证可交换债券估值!$A:$H,6,FALSE),"")</f>
        <v>104.385199999999998</v>
      </c>
      <c r="O67" s="5">
        <f>IFERROR(VLOOKUP(LEFT($B67,6),[4]中证可交换债券估值!$A:$H,7,FALSE),"")</f>
        <v>95.779300000000006</v>
      </c>
    </row>
    <row r="68">
      <c r="A68" s="0" t="str">
        <f>TEXT([1]sheet1!$B$3,"yyyy-mm-dd")</f>
        <v>2026-08-17</v>
      </c>
      <c r="B68" s="0" t="str">
        <f>IF(LEN(TRIM([2]可交债!A43))=6,TRIM([2]可交债!A43)&amp;".SZ",TRIM([2]可交债!A43))</f>
        <v>137198.SH</v>
      </c>
      <c r="C68" s="0" t="str">
        <f>IFERROR(VLOOKUP(LEFT($B68,6)&amp;"*",[2]可交债!$A:$H,2,FALSE),"")</f>
        <v>26SYKEB</v>
      </c>
      <c r="D68" s="0" t="str">
        <f>IFERROR(VLOOKUP(LEFT($B68,6)&amp;"*",[2]可交债!$A:$H,3,FALSE),"")</f>
        <v>688183.SH</v>
      </c>
      <c r="E68" s="0" t="str">
        <f>IFERROR(VLOOKUP(LEFT($B68,6)&amp;"*",[2]可交债!$A:$H,4,FALSE),"")</f>
        <v>生益电子</v>
      </c>
      <c r="F68" s="7">
        <f>SUMPRODUCT((LEFT(TRIM('[3]现券交易信息（逐笔）'!$B$2:$B$500),6)=LEFT($B68,6))*(IFERROR(--SUBSTITUTE('[3]现券交易信息（逐笔）'!$G$2:$G$500,",",""),0)))+SUMIF([1]sheet1!$D$2:$D$500,LEFT($B68,6)&amp;"*",[1]sheet1!$M$2:$M$500)</f>
        <v>0</v>
      </c>
      <c r="G68" s="7">
        <f>SUMPRODUCT((LEFT(TRIM('[3]现券交易信息（逐笔）'!$B$2:$B$500),6)=LEFT($B68,6))*(IFERROR(--SUBSTITUTE('[3]现券交易信息（逐笔）'!$F$2:$F$500,",",""),0)*100))+SUMIF([1]sheet1!$D$2:$D$500,LEFT($B68,6)&amp;"*",[1]sheet1!$L$2:$L$500)*100</f>
        <v>0</v>
      </c>
      <c r="H68" s="7" t="str">
        <f>IF(G68=0,"",ROUND(F68*10000/G68,4))</f>
        <v/>
      </c>
      <c r="I68" s="8">
        <f>IFERROR(VLOOKUP(LEFT($B68,6)&amp;"*",[2]可交债!$A:$H,5,FALSE),"")</f>
        <v>0.01</v>
      </c>
      <c r="J68" s="8">
        <f>IFERROR(VLOOKUP(LEFT($B68,6)&amp;"*",[2]可交债!$A:$H,6,FALSE),"")</f>
        <v>0</v>
      </c>
      <c r="K68" s="8">
        <f>IFERROR(VLOOKUP(LEFT($B68,6)&amp;"*",[2]可交债!$A:$H,7,FALSE),"")</f>
        <v>96.840000000000003</v>
      </c>
      <c r="L68" s="8">
        <f>IFERROR(VLOOKUP(LEFT($B68,6)&amp;"*",[2]可交债!$A:$H,8,FALSE),"")</f>
        <v>118.280000000000001</v>
      </c>
      <c r="M68" s="8">
        <f>IFERROR(VLOOKUP(LEFT($B68,6),[4]中证可交换债券估值!$A:$H,5,FALSE),"")</f>
        <v>122.328500000000005</v>
      </c>
      <c r="N68" s="8">
        <f>IFERROR(VLOOKUP(LEFT($B68,6),[4]中证可交换债券估值!$A:$H,6,FALSE),"")</f>
        <v>26.303699999999999</v>
      </c>
      <c r="O68" s="5">
        <f>IFERROR(VLOOKUP(LEFT($B68,6),[4]中证可交换债券估值!$A:$H,7,FALSE),"")</f>
        <v>96.024799999999999</v>
      </c>
    </row>
    <row r="69">
      <c r="A69" s="0" t="str">
        <f>TEXT([1]sheet1!$B$3,"yyyy-mm-dd")</f>
        <v>2026-08-17</v>
      </c>
      <c r="B69" s="0" t="str">
        <f>IF(LEN(TRIM([2]可交债!A44))=6,TRIM([2]可交债!A44)&amp;".SZ",TRIM([2]可交债!A44))</f>
        <v>137197.SH</v>
      </c>
      <c r="C69" s="0" t="str">
        <f>IFERROR(VLOOKUP(LEFT($B69,6)&amp;"*",[2]可交债!$A:$H,2,FALSE),"")</f>
        <v>26福达EB</v>
      </c>
      <c r="D69" s="0" t="str">
        <f>IFERROR(VLOOKUP(LEFT($B69,6)&amp;"*",[2]可交债!$A:$H,3,FALSE),"")</f>
        <v>603166.SH</v>
      </c>
      <c r="E69" s="0" t="str">
        <f>IFERROR(VLOOKUP(LEFT($B69,6)&amp;"*",[2]可交债!$A:$H,4,FALSE),"")</f>
        <v>福达股份</v>
      </c>
      <c r="F69" s="7">
        <f>SUMPRODUCT((LEFT(TRIM('[3]现券交易信息（逐笔）'!$B$2:$B$500),6)=LEFT($B69,6))*(IFERROR(--SUBSTITUTE('[3]现券交易信息（逐笔）'!$G$2:$G$500,",",""),0)))+SUMIF([1]sheet1!$D$2:$D$500,LEFT($B69,6)&amp;"*",[1]sheet1!$M$2:$M$500)</f>
        <v>0</v>
      </c>
      <c r="G69" s="7">
        <f>SUMPRODUCT((LEFT(TRIM('[3]现券交易信息（逐笔）'!$B$2:$B$500),6)=LEFT($B69,6))*(IFERROR(--SUBSTITUTE('[3]现券交易信息（逐笔）'!$F$2:$F$500,",",""),0)*100))+SUMIF([1]sheet1!$D$2:$D$500,LEFT($B69,6)&amp;"*",[1]sheet1!$L$2:$L$500)*100</f>
        <v>0</v>
      </c>
      <c r="H69" s="7" t="str">
        <f>IF(G69=0,"",ROUND(F69*10000/G69,4))</f>
        <v/>
      </c>
      <c r="I69" s="8">
        <f>IFERROR(VLOOKUP(LEFT($B69,6)&amp;"*",[2]可交债!$A:$H,5,FALSE),"")</f>
        <v>0.1</v>
      </c>
      <c r="J69" s="8">
        <f>IFERROR(VLOOKUP(LEFT($B69,6)&amp;"*",[2]可交债!$A:$H,6,FALSE),"")</f>
        <v>3</v>
      </c>
      <c r="K69" s="8">
        <f>IFERROR(VLOOKUP(LEFT($B69,6)&amp;"*",[2]可交债!$A:$H,7,FALSE),"")</f>
        <v>17.300000000000001</v>
      </c>
      <c r="L69" s="8">
        <f>IFERROR(VLOOKUP(LEFT($B69,6)&amp;"*",[2]可交债!$A:$H,8,FALSE),"")</f>
        <v>11.48</v>
      </c>
      <c r="M69" s="8">
        <f>IFERROR(VLOOKUP(LEFT($B69,6),[4]中证可交换债券估值!$A:$H,5,FALSE),"")</f>
        <v>109.716300000000004</v>
      </c>
      <c r="N69" s="8">
        <f>IFERROR(VLOOKUP(LEFT($B69,6),[4]中证可交换债券估值!$A:$H,6,FALSE),"")</f>
        <v>10.6241</v>
      </c>
      <c r="O69" s="5">
        <f>IFERROR(VLOOKUP(LEFT($B69,6),[4]中证可交换债券估值!$A:$H,7,FALSE),"")</f>
        <v>99.092200000000005</v>
      </c>
    </row>
    <row r="70">
      <c r="A70" s="0" t="str">
        <f>'[3]现券交易信息（逐笔）'!A4</f>
        <v>2026-08-17</v>
      </c>
      <c r="B70" s="0" t="str">
        <f>IF(LEN(TRIM('[3]现券交易信息（逐笔）'!B4))=6,TRIM('[3]现券交易信息（逐笔）'!B4)&amp;".SZ",TRIM('[3]现券交易信息（逐笔）'!B4))</f>
        <v>117250.SZ</v>
      </c>
      <c r="C70" s="0" t="str">
        <f>IFERROR(VLOOKUP(LEFT($B70,6)&amp;"*",[2]可交债!$A:$H,2,FALSE),"")</f>
        <v>26国泰E1</v>
      </c>
      <c r="D70" s="0" t="str">
        <f>IFERROR(VLOOKUP(LEFT($B70,6)&amp;"*",[2]可交债!$A:$H,3,FALSE),"")</f>
        <v>301238.SZ</v>
      </c>
      <c r="E70" s="0" t="str">
        <f>IFERROR(VLOOKUP(LEFT($B70,6)&amp;"*",[2]可交债!$A:$H,4,FALSE),"")</f>
        <v>瑞泰新材</v>
      </c>
      <c r="F70" s="7">
        <f>VALUE(SUBSTITUTE('[3]现券交易信息（逐笔）'!G4,",",""))</f>
        <v>226</v>
      </c>
      <c r="G70" s="7">
        <f>VALUE(SUBSTITUTE('[3]现券交易信息（逐笔）'!F4,",",""))*100</f>
        <v>20000</v>
      </c>
      <c r="H70" s="7">
        <f>IF(G70=0,"",ROUND(F70*10000/G70,4))</f>
        <v>113</v>
      </c>
      <c r="I70" s="8">
        <f>IFERROR(VLOOKUP(LEFT($B70,6)&amp;"*",[2]可交债!$A:$H,5,FALSE),"")</f>
        <v>0.01</v>
      </c>
      <c r="J70" s="8">
        <f>IFERROR(VLOOKUP(LEFT($B70,6)&amp;"*",[2]可交债!$A:$H,6,FALSE),"")</f>
        <v>0</v>
      </c>
      <c r="K70" s="8">
        <f>IFERROR(VLOOKUP(LEFT($B70,6)&amp;"*",[2]可交债!$A:$H,7,FALSE),"")</f>
        <v>23.18</v>
      </c>
      <c r="L70" s="8">
        <f>IFERROR(VLOOKUP(LEFT($B70,6)&amp;"*",[2]可交债!$A:$H,8,FALSE),"")</f>
        <v>16.960000000000001</v>
      </c>
      <c r="M70" s="8">
        <f>IFERROR(VLOOKUP(LEFT($B70,6),[4]中证可交换债券估值!$A:$H,5,FALSE),"")</f>
        <v>116.208500000000001</v>
      </c>
      <c r="N70" s="8">
        <f>IFERROR(VLOOKUP(LEFT($B70,6),[4]中证可交换债券估值!$A:$H,6,FALSE),"")</f>
        <v>20.136199999999999</v>
      </c>
      <c r="O70" s="5">
        <f>IFERROR(VLOOKUP(LEFT($B70,6),[4]中证可交换债券估值!$A:$H,7,FALSE),"")</f>
        <v>96.072299999999998</v>
      </c>
    </row>
    <row r="71">
      <c r="A71" s="0" t="str">
        <f>TEXT([1]sheet1!$B$3,"yyyy-mm-dd")</f>
        <v>2026-08-17</v>
      </c>
      <c r="B71" s="0" t="str">
        <f>IF(LEN(TRIM([2]可交债!A46))=6,TRIM([2]可交债!A46)&amp;".SZ",TRIM([2]可交债!A46))</f>
        <v>137203.SH</v>
      </c>
      <c r="C71" s="0" t="str">
        <f>IFERROR(VLOOKUP(LEFT($B71,6)&amp;"*",[2]可交债!$A:$H,2,FALSE),"")</f>
        <v>26杭钢EB</v>
      </c>
      <c r="D71" s="0" t="str">
        <f>IFERROR(VLOOKUP(LEFT($B71,6)&amp;"*",[2]可交债!$A:$H,3,FALSE),"")</f>
        <v>600126.SH</v>
      </c>
      <c r="E71" s="0" t="str">
        <f>IFERROR(VLOOKUP(LEFT($B71,6)&amp;"*",[2]可交债!$A:$H,4,FALSE),"")</f>
        <v>杭钢股份</v>
      </c>
      <c r="F71" s="7">
        <f>SUMPRODUCT((LEFT(TRIM('[3]现券交易信息（逐笔）'!$B$2:$B$500),6)=LEFT($B71,6))*(IFERROR(--SUBSTITUTE('[3]现券交易信息（逐笔）'!$G$2:$G$500,",",""),0)))+SUMIF([1]sheet1!$D$2:$D$500,LEFT($B71,6)&amp;"*",[1]sheet1!$M$2:$M$500)</f>
        <v>0</v>
      </c>
      <c r="G71" s="7">
        <f>SUMPRODUCT((LEFT(TRIM('[3]现券交易信息（逐笔）'!$B$2:$B$500),6)=LEFT($B71,6))*(IFERROR(--SUBSTITUTE('[3]现券交易信息（逐笔）'!$F$2:$F$500,",",""),0)*100))+SUMIF([1]sheet1!$D$2:$D$500,LEFT($B71,6)&amp;"*",[1]sheet1!$L$2:$L$500)*100</f>
        <v>0</v>
      </c>
      <c r="H71" s="7" t="str">
        <f>IF(G71=0,"",ROUND(F71*10000/G71,4))</f>
        <v/>
      </c>
      <c r="I71" s="8">
        <f>IFERROR(VLOOKUP(LEFT($B71,6)&amp;"*",[2]可交债!$A:$H,5,FALSE),"")</f>
        <v>0.01</v>
      </c>
      <c r="J71" s="8">
        <f>IFERROR(VLOOKUP(LEFT($B71,6)&amp;"*",[2]可交债!$A:$H,6,FALSE),"")</f>
        <v>0</v>
      </c>
      <c r="K71" s="8">
        <f>IFERROR(VLOOKUP(LEFT($B71,6)&amp;"*",[2]可交债!$A:$H,7,FALSE),"")</f>
        <v>10.99</v>
      </c>
      <c r="L71" s="8">
        <f>IFERROR(VLOOKUP(LEFT($B71,6)&amp;"*",[2]可交债!$A:$H,8,FALSE),"")</f>
        <v>7.16</v>
      </c>
      <c r="M71" s="8">
        <f>IFERROR(VLOOKUP(LEFT($B71,6),[4]中证可交换债券估值!$A:$H,5,FALSE),"")</f>
        <v>109.623500000000007</v>
      </c>
      <c r="N71" s="8">
        <f>IFERROR(VLOOKUP(LEFT($B71,6),[4]中证可交换债券估值!$A:$H,6,FALSE),"")</f>
        <v>13.8591</v>
      </c>
      <c r="O71" s="5">
        <f>IFERROR(VLOOKUP(LEFT($B71,6),[4]中证可交换债券估值!$A:$H,7,FALSE),"")</f>
        <v>95.764399999999995</v>
      </c>
    </row>
    <row r="72">
      <c r="A72" s="0" t="str">
        <f>TEXT([1]sheet1!$B$3,"yyyy-mm-dd")</f>
        <v>2026-08-17</v>
      </c>
      <c r="B72" s="0" t="str">
        <f>IF(LEN(TRIM([2]可交债!A47))=6,TRIM([2]可交债!A47)&amp;".SZ",TRIM([2]可交债!A47))</f>
        <v>117253.SZ</v>
      </c>
      <c r="C72" s="0" t="str">
        <f>IFERROR(VLOOKUP(LEFT($B72,6)&amp;"*",[2]可交债!$A:$H,2,FALSE),"")</f>
        <v>26华邦EB</v>
      </c>
      <c r="D72" s="0" t="str">
        <f>IFERROR(VLOOKUP(LEFT($B72,6)&amp;"*",[2]可交债!$A:$H,3,FALSE),"")</f>
        <v>301069.SZ</v>
      </c>
      <c r="E72" s="0" t="str">
        <f>IFERROR(VLOOKUP(LEFT($B72,6)&amp;"*",[2]可交债!$A:$H,4,FALSE),"")</f>
        <v>凯盛新材</v>
      </c>
      <c r="F72" s="7">
        <f>SUMPRODUCT((LEFT(TRIM('[3]现券交易信息（逐笔）'!$B$2:$B$500),6)=LEFT($B72,6))*(IFERROR(--SUBSTITUTE('[3]现券交易信息（逐笔）'!$G$2:$G$500,",",""),0)))+SUMIF([1]sheet1!$D$2:$D$500,LEFT($B72,6)&amp;"*",[1]sheet1!$M$2:$M$500)</f>
        <v>0</v>
      </c>
      <c r="G72" s="7">
        <f>SUMPRODUCT((LEFT(TRIM('[3]现券交易信息（逐笔）'!$B$2:$B$500),6)=LEFT($B72,6))*(IFERROR(--SUBSTITUTE('[3]现券交易信息（逐笔）'!$F$2:$F$500,",",""),0)*100))+SUMIF([1]sheet1!$D$2:$D$500,LEFT($B72,6)&amp;"*",[1]sheet1!$L$2:$L$500)*100</f>
        <v>0</v>
      </c>
      <c r="H72" s="7" t="str">
        <f>IF(G72=0,"",ROUND(F72*10000/G72,4))</f>
        <v/>
      </c>
      <c r="I72" s="8">
        <f>IFERROR(VLOOKUP(LEFT($B72,6)&amp;"*",[2]可交债!$A:$H,5,FALSE),"")</f>
        <v>0.01</v>
      </c>
      <c r="J72" s="8">
        <f>IFERROR(VLOOKUP(LEFT($B72,6)&amp;"*",[2]可交债!$A:$H,6,FALSE),"")</f>
        <v>1</v>
      </c>
      <c r="K72" s="8">
        <f>IFERROR(VLOOKUP(LEFT($B72,6)&amp;"*",[2]可交债!$A:$H,7,FALSE),"")</f>
        <v>23.960000000000001</v>
      </c>
      <c r="L72" s="8">
        <f>IFERROR(VLOOKUP(LEFT($B72,6)&amp;"*",[2]可交债!$A:$H,8,FALSE),"")</f>
        <v>17.719999999999999</v>
      </c>
      <c r="M72" s="8">
        <f>IFERROR(VLOOKUP(LEFT($B72,6),[4]中证可交换债券估值!$A:$H,5,FALSE),"")</f>
        <v>111.516099999999994</v>
      </c>
      <c r="N72" s="8">
        <f>IFERROR(VLOOKUP(LEFT($B72,6),[4]中证可交换债券估值!$A:$H,6,FALSE),"")</f>
        <v>14.770799999999999</v>
      </c>
      <c r="O72" s="5">
        <f>IFERROR(VLOOKUP(LEFT($B72,6),[4]中证可交换债券估值!$A:$H,7,FALSE),"")</f>
        <v>96.7453</v>
      </c>
    </row>
    <row r="73">
      <c r="A73" s="0" t="str">
        <f>TEXT([1]sheet1!$B$3,"yyyy-mm-dd")</f>
        <v>2026-08-17</v>
      </c>
      <c r="B73" s="0" t="str">
        <f>IF(LEN(TRIM([2]可交债!A48))=6,TRIM([2]可交债!A48)&amp;".SZ",TRIM([2]可交债!A48))</f>
        <v>132024.SH</v>
      </c>
      <c r="C73" s="0" t="str">
        <f>IFERROR(VLOOKUP(LEFT($B73,6)&amp;"*",[2]可交债!$A:$H,2,FALSE),"")</f>
        <v>26江铜EB</v>
      </c>
      <c r="D73" s="0" t="str">
        <f>IFERROR(VLOOKUP(LEFT($B73,6)&amp;"*",[2]可交债!$A:$H,3,FALSE),"")</f>
        <v>600362.SH</v>
      </c>
      <c r="E73" s="0" t="str">
        <f>IFERROR(VLOOKUP(LEFT($B73,6)&amp;"*",[2]可交债!$A:$H,4,FALSE),"")</f>
        <v>江西铜业</v>
      </c>
      <c r="F73" s="7">
        <f>SUMPRODUCT((LEFT(TRIM('[3]现券交易信息（逐笔）'!$B$2:$B$500),6)=LEFT($B73,6))*(IFERROR(--SUBSTITUTE('[3]现券交易信息（逐笔）'!$G$2:$G$500,",",""),0)))+SUMIF([1]sheet1!$D$2:$D$500,LEFT($B73,6)&amp;"*",[1]sheet1!$M$2:$M$500)</f>
        <v>0</v>
      </c>
      <c r="G73" s="7">
        <f>SUMPRODUCT((LEFT(TRIM('[3]现券交易信息（逐笔）'!$B$2:$B$500),6)=LEFT($B73,6))*(IFERROR(--SUBSTITUTE('[3]现券交易信息（逐笔）'!$F$2:$F$500,",",""),0)*100))+SUMIF([1]sheet1!$D$2:$D$500,LEFT($B73,6)&amp;"*",[1]sheet1!$L$2:$L$500)*100</f>
        <v>0</v>
      </c>
      <c r="H73" s="7" t="str">
        <f>IF(G73=0,"",ROUND(F73*10000/G73,4))</f>
        <v/>
      </c>
      <c r="I73" s="8">
        <f>IFERROR(VLOOKUP(LEFT($B73,6)&amp;"*",[2]可交债!$A:$H,5,FALSE),"")</f>
        <v>0.01</v>
      </c>
      <c r="J73" s="8">
        <f>IFERROR(VLOOKUP(LEFT($B73,6)&amp;"*",[2]可交债!$A:$H,6,FALSE),"")</f>
        <v>5</v>
      </c>
      <c r="K73" s="8">
        <f>IFERROR(VLOOKUP(LEFT($B73,6)&amp;"*",[2]可交债!$A:$H,7,FALSE),"")</f>
        <v>52.399999999999999</v>
      </c>
      <c r="L73" s="8">
        <f>IFERROR(VLOOKUP(LEFT($B73,6)&amp;"*",[2]可交债!$A:$H,8,FALSE),"")</f>
        <v>47.719999999999999</v>
      </c>
      <c r="M73" s="8">
        <f>IFERROR(VLOOKUP(LEFT($B73,6),[4]中证可交换债券估值!$A:$H,5,FALSE),"")</f>
        <v>136.545600000000007</v>
      </c>
      <c r="N73" s="8">
        <f>IFERROR(VLOOKUP(LEFT($B73,6),[4]中证可交换债券估值!$A:$H,6,FALSE),"")</f>
        <v>39.688499999999998</v>
      </c>
      <c r="O73" s="5">
        <f>IFERROR(VLOOKUP(LEFT($B73,6),[4]中证可交换债券估值!$A:$H,7,FALSE),"")</f>
        <v>96.857100000000003</v>
      </c>
    </row>
    <row r="74">
      <c r="A74" s="0" t="str">
        <f>TEXT([1]sheet1!$B$3,"yyyy-mm-dd")</f>
        <v>2026-08-17</v>
      </c>
      <c r="B74" s="0" t="str">
        <f>IF(LEN(TRIM([2]可交债!A49))=6,TRIM([2]可交债!A49)&amp;".SZ",TRIM([2]可交债!A49))</f>
        <v>117252.SZ</v>
      </c>
      <c r="C74" s="0" t="str">
        <f>IFERROR(VLOOKUP(LEFT($B74,6)&amp;"*",[2]可交债!$A:$H,2,FALSE),"")</f>
        <v>26九洲KEB1</v>
      </c>
      <c r="D74" s="0" t="str">
        <f>IFERROR(VLOOKUP(LEFT($B74,6)&amp;"*",[2]可交债!$A:$H,3,FALSE),"")</f>
        <v>000801.SZ</v>
      </c>
      <c r="E74" s="0" t="str">
        <f>IFERROR(VLOOKUP(LEFT($B74,6)&amp;"*",[2]可交债!$A:$H,4,FALSE),"")</f>
        <v>四川九洲</v>
      </c>
      <c r="F74" s="7">
        <f>SUMPRODUCT((LEFT(TRIM('[3]现券交易信息（逐笔）'!$B$2:$B$500),6)=LEFT($B74,6))*(IFERROR(--SUBSTITUTE('[3]现券交易信息（逐笔）'!$G$2:$G$500,",",""),0)))+SUMIF([1]sheet1!$D$2:$D$500,LEFT($B74,6)&amp;"*",[1]sheet1!$M$2:$M$500)</f>
        <v>0</v>
      </c>
      <c r="G74" s="7">
        <f>SUMPRODUCT((LEFT(TRIM('[3]现券交易信息（逐笔）'!$B$2:$B$500),6)=LEFT($B74,6))*(IFERROR(--SUBSTITUTE('[3]现券交易信息（逐笔）'!$F$2:$F$500,",",""),0)*100))+SUMIF([1]sheet1!$D$2:$D$500,LEFT($B74,6)&amp;"*",[1]sheet1!$L$2:$L$500)*100</f>
        <v>0</v>
      </c>
      <c r="H74" s="7" t="str">
        <f>IF(G74=0,"",ROUND(F74*10000/G74,4))</f>
        <v/>
      </c>
      <c r="I74" s="8">
        <f>IFERROR(VLOOKUP(LEFT($B74,6)&amp;"*",[2]可交债!$A:$H,5,FALSE),"")</f>
        <v>0.01</v>
      </c>
      <c r="J74" s="8">
        <f>IFERROR(VLOOKUP(LEFT($B74,6)&amp;"*",[2]可交债!$A:$H,6,FALSE),"")</f>
        <v>3</v>
      </c>
      <c r="K74" s="8">
        <f>IFERROR(VLOOKUP(LEFT($B74,6)&amp;"*",[2]可交债!$A:$H,7,FALSE),"")</f>
        <v>21.27</v>
      </c>
      <c r="L74" s="8">
        <f>IFERROR(VLOOKUP(LEFT($B74,6)&amp;"*",[2]可交债!$A:$H,8,FALSE),"")</f>
        <v>11.58</v>
      </c>
      <c r="M74" s="8">
        <f>IFERROR(VLOOKUP(LEFT($B74,6),[4]中证可交换债券估值!$A:$H,5,FALSE),"")</f>
        <v>104.736800000000002</v>
      </c>
      <c r="N74" s="8">
        <f>IFERROR(VLOOKUP(LEFT($B74,6),[4]中证可交换债券估值!$A:$H,6,FALSE),"")</f>
        <v>5.9788</v>
      </c>
      <c r="O74" s="5">
        <f>IFERROR(VLOOKUP(LEFT($B74,6),[4]中证可交换债券估值!$A:$H,7,FALSE),"")</f>
        <v>98.757999999999996</v>
      </c>
    </row>
    <row r="75">
      <c r="A75" s="0" t="str">
        <f>TEXT([1]sheet1!$B$3,"yyyy-mm-dd")</f>
        <v>2026-08-17</v>
      </c>
      <c r="B75" s="0" t="str">
        <f>IF(LEN(TRIM([2]可交债!A50))=6,TRIM([2]可交债!A50)&amp;".SZ",TRIM([2]可交债!A50))</f>
        <v>137200.SH</v>
      </c>
      <c r="C75" s="0" t="str">
        <f>IFERROR(VLOOKUP(LEFT($B75,6)&amp;"*",[2]可交债!$A:$H,2,FALSE),"")</f>
        <v>26闽资EB</v>
      </c>
      <c r="D75" s="0" t="str">
        <f>IFERROR(VLOOKUP(LEFT($B75,6)&amp;"*",[2]可交债!$A:$H,3,FALSE),"")</f>
        <v>688010.SH</v>
      </c>
      <c r="E75" s="0" t="str">
        <f>IFERROR(VLOOKUP(LEFT($B75,6)&amp;"*",[2]可交债!$A:$H,4,FALSE),"")</f>
        <v>福光股份</v>
      </c>
      <c r="F75" s="7">
        <f>SUMPRODUCT((LEFT(TRIM('[3]现券交易信息（逐笔）'!$B$2:$B$500),6)=LEFT($B75,6))*(IFERROR(--SUBSTITUTE('[3]现券交易信息（逐笔）'!$G$2:$G$500,",",""),0)))+SUMIF([1]sheet1!$D$2:$D$500,LEFT($B75,6)&amp;"*",[1]sheet1!$M$2:$M$500)</f>
        <v>0</v>
      </c>
      <c r="G75" s="7">
        <f>SUMPRODUCT((LEFT(TRIM('[3]现券交易信息（逐笔）'!$B$2:$B$500),6)=LEFT($B75,6))*(IFERROR(--SUBSTITUTE('[3]现券交易信息（逐笔）'!$F$2:$F$500,",",""),0)*100))+SUMIF([1]sheet1!$D$2:$D$500,LEFT($B75,6)&amp;"*",[1]sheet1!$L$2:$L$500)*100</f>
        <v>0</v>
      </c>
      <c r="H75" s="7" t="str">
        <f>IF(G75=0,"",ROUND(F75*10000/G75,4))</f>
        <v/>
      </c>
      <c r="I75" s="8">
        <f>IFERROR(VLOOKUP(LEFT($B75,6)&amp;"*",[2]可交债!$A:$H,5,FALSE),"")</f>
        <v>0.01</v>
      </c>
      <c r="J75" s="8">
        <f>IFERROR(VLOOKUP(LEFT($B75,6)&amp;"*",[2]可交债!$A:$H,6,FALSE),"")</f>
        <v>4.5</v>
      </c>
      <c r="K75" s="8">
        <f>IFERROR(VLOOKUP(LEFT($B75,6)&amp;"*",[2]可交债!$A:$H,7,FALSE),"")</f>
        <v>40.530000000000001</v>
      </c>
      <c r="L75" s="8">
        <f>IFERROR(VLOOKUP(LEFT($B75,6)&amp;"*",[2]可交债!$A:$H,8,FALSE),"")</f>
        <v>28.300000000000001</v>
      </c>
      <c r="M75" s="8">
        <f>IFERROR(VLOOKUP(LEFT($B75,6),[4]中证可交换债券估值!$A:$H,5,FALSE),"")</f>
        <v>110.601500000000001</v>
      </c>
      <c r="N75" s="8">
        <f>IFERROR(VLOOKUP(LEFT($B75,6),[4]中证可交换债券估值!$A:$H,6,FALSE),"")</f>
        <v>10.898</v>
      </c>
      <c r="O75" s="5">
        <f>IFERROR(VLOOKUP(LEFT($B75,6),[4]中证可交换债券估值!$A:$H,7,FALSE),"")</f>
        <v>99.703500000000005</v>
      </c>
    </row>
    <row r="76">
      <c r="A76" s="0" t="str">
        <f>TEXT([1]sheet1!B30,"yyyy-mm-dd")</f>
        <v>2026-08-17</v>
      </c>
      <c r="B76" s="0" t="str">
        <f>IF(LEN(TRIM([1]sheet1!D30))=6,TRIM([1]sheet1!D30)&amp;".SZ",TRIM([1]sheet1!D30))</f>
        <v>137206.SH</v>
      </c>
      <c r="C76" s="0" t="str">
        <f>IFERROR(VLOOKUP(LEFT($B76,6)&amp;"*",[2]可交债!$A:$H,2,FALSE),"")</f>
        <v>26南K1EB</v>
      </c>
      <c r="D76" s="0" t="str">
        <f>IFERROR(VLOOKUP(LEFT($B76,6)&amp;"*",[2]可交债!$A:$H,3,FALSE),"")</f>
        <v>600219.SH</v>
      </c>
      <c r="E76" s="0" t="str">
        <f>IFERROR(VLOOKUP(LEFT($B76,6)&amp;"*",[2]可交债!$A:$H,4,FALSE),"")</f>
        <v>南山铝业</v>
      </c>
      <c r="F76" s="7">
        <f>[1]sheet1!M30</f>
        <v>1066.5</v>
      </c>
      <c r="G76" s="7">
        <f>[1]sheet1!L30*100</f>
        <v>100000</v>
      </c>
      <c r="H76" s="7">
        <f>IF(G76=0,"",ROUND(F76*10000/G76,4))</f>
        <v>106.650000000000006</v>
      </c>
      <c r="I76" s="8">
        <f>IFERROR(VLOOKUP(LEFT($B76,6)&amp;"*",[2]可交债!$A:$H,5,FALSE),"")</f>
        <v>0.1</v>
      </c>
      <c r="J76" s="8">
        <f>IFERROR(VLOOKUP(LEFT($B76,6)&amp;"*",[2]可交债!$A:$H,6,FALSE),"")</f>
        <v>0</v>
      </c>
      <c r="K76" s="8">
        <f>IFERROR(VLOOKUP(LEFT($B76,6)&amp;"*",[2]可交债!$A:$H,7,FALSE),"")</f>
        <v>7.36</v>
      </c>
      <c r="L76" s="8">
        <f>IFERROR(VLOOKUP(LEFT($B76,6)&amp;"*",[2]可交债!$A:$H,8,FALSE),"")</f>
        <v>4.86</v>
      </c>
      <c r="M76" s="8">
        <f>IFERROR(VLOOKUP(LEFT($B76,6),[4]中证可交换债券估值!$A:$H,5,FALSE),"")</f>
        <v>107.793199999999999</v>
      </c>
      <c r="N76" s="8">
        <f>IFERROR(VLOOKUP(LEFT($B76,6),[4]中证可交换债券估值!$A:$H,6,FALSE),"")</f>
        <v>11.782</v>
      </c>
      <c r="O76" s="5">
        <f>IFERROR(VLOOKUP(LEFT($B76,6),[4]中证可交换债券估值!$A:$H,7,FALSE),"")</f>
        <v>96.011200000000002</v>
      </c>
    </row>
    <row r="77">
      <c r="A77" s="0" t="str">
        <f>TEXT([1]sheet1!B31,"yyyy-mm-dd")</f>
        <v>2026-08-17</v>
      </c>
      <c r="B77" s="0" t="str">
        <f>IF(LEN(TRIM([1]sheet1!D31))=6,TRIM([1]sheet1!D31)&amp;".SZ",TRIM([1]sheet1!D31))</f>
        <v>137206.SH</v>
      </c>
      <c r="C77" s="0" t="str">
        <f>IFERROR(VLOOKUP(LEFT($B77,6)&amp;"*",[2]可交债!$A:$H,2,FALSE),"")</f>
        <v>26南K1EB</v>
      </c>
      <c r="D77" s="0" t="str">
        <f>IFERROR(VLOOKUP(LEFT($B77,6)&amp;"*",[2]可交债!$A:$H,3,FALSE),"")</f>
        <v>600219.SH</v>
      </c>
      <c r="E77" s="0" t="str">
        <f>IFERROR(VLOOKUP(LEFT($B77,6)&amp;"*",[2]可交债!$A:$H,4,FALSE),"")</f>
        <v>南山铝业</v>
      </c>
      <c r="F77" s="7">
        <f>[1]sheet1!M31</f>
        <v>1066</v>
      </c>
      <c r="G77" s="7">
        <f>[1]sheet1!L31*100</f>
        <v>100000</v>
      </c>
      <c r="H77" s="7">
        <f>IF(G77=0,"",ROUND(F77*10000/G77,4))</f>
        <v>106.599999999999994</v>
      </c>
      <c r="I77" s="8">
        <f>IFERROR(VLOOKUP(LEFT($B77,6)&amp;"*",[2]可交债!$A:$H,5,FALSE),"")</f>
        <v>0.1</v>
      </c>
      <c r="J77" s="8">
        <f>IFERROR(VLOOKUP(LEFT($B77,6)&amp;"*",[2]可交债!$A:$H,6,FALSE),"")</f>
        <v>0</v>
      </c>
      <c r="K77" s="8">
        <f>IFERROR(VLOOKUP(LEFT($B77,6)&amp;"*",[2]可交债!$A:$H,7,FALSE),"")</f>
        <v>7.36</v>
      </c>
      <c r="L77" s="8">
        <f>IFERROR(VLOOKUP(LEFT($B77,6)&amp;"*",[2]可交债!$A:$H,8,FALSE),"")</f>
        <v>4.86</v>
      </c>
      <c r="M77" s="8">
        <f>IFERROR(VLOOKUP(LEFT($B77,6),[4]中证可交换债券估值!$A:$H,5,FALSE),"")</f>
        <v>107.793199999999999</v>
      </c>
      <c r="N77" s="8">
        <f>IFERROR(VLOOKUP(LEFT($B77,6),[4]中证可交换债券估值!$A:$H,6,FALSE),"")</f>
        <v>11.782</v>
      </c>
      <c r="O77" s="5">
        <f>IFERROR(VLOOKUP(LEFT($B77,6),[4]中证可交换债券估值!$A:$H,7,FALSE),"")</f>
        <v>96.011200000000002</v>
      </c>
    </row>
    <row r="78">
      <c r="A78" s="0" t="str">
        <f>TEXT([1]sheet1!B32,"yyyy-mm-dd")</f>
        <v>2026-08-17</v>
      </c>
      <c r="B78" s="0" t="str">
        <f>IF(LEN(TRIM([1]sheet1!D32))=6,TRIM([1]sheet1!D32)&amp;".SZ",TRIM([1]sheet1!D32))</f>
        <v>137206.SH</v>
      </c>
      <c r="C78" s="0" t="str">
        <f>IFERROR(VLOOKUP(LEFT($B78,6)&amp;"*",[2]可交债!$A:$H,2,FALSE),"")</f>
        <v>26南K1EB</v>
      </c>
      <c r="D78" s="0" t="str">
        <f>IFERROR(VLOOKUP(LEFT($B78,6)&amp;"*",[2]可交债!$A:$H,3,FALSE),"")</f>
        <v>600219.SH</v>
      </c>
      <c r="E78" s="0" t="str">
        <f>IFERROR(VLOOKUP(LEFT($B78,6)&amp;"*",[2]可交债!$A:$H,4,FALSE),"")</f>
        <v>南山铝业</v>
      </c>
      <c r="F78" s="7">
        <f>[1]sheet1!M32</f>
        <v>1917.900000000000091</v>
      </c>
      <c r="G78" s="7">
        <f>[1]sheet1!L32*100</f>
        <v>180000</v>
      </c>
      <c r="H78" s="7">
        <f>IF(G78=0,"",ROUND(F78*10000/G78,4))</f>
        <v>106.549999999999997</v>
      </c>
      <c r="I78" s="8">
        <f>IFERROR(VLOOKUP(LEFT($B78,6)&amp;"*",[2]可交债!$A:$H,5,FALSE),"")</f>
        <v>0.1</v>
      </c>
      <c r="J78" s="8">
        <f>IFERROR(VLOOKUP(LEFT($B78,6)&amp;"*",[2]可交债!$A:$H,6,FALSE),"")</f>
        <v>0</v>
      </c>
      <c r="K78" s="8">
        <f>IFERROR(VLOOKUP(LEFT($B78,6)&amp;"*",[2]可交债!$A:$H,7,FALSE),"")</f>
        <v>7.36</v>
      </c>
      <c r="L78" s="8">
        <f>IFERROR(VLOOKUP(LEFT($B78,6)&amp;"*",[2]可交债!$A:$H,8,FALSE),"")</f>
        <v>4.86</v>
      </c>
      <c r="M78" s="8">
        <f>IFERROR(VLOOKUP(LEFT($B78,6),[4]中证可交换债券估值!$A:$H,5,FALSE),"")</f>
        <v>107.793199999999999</v>
      </c>
      <c r="N78" s="8">
        <f>IFERROR(VLOOKUP(LEFT($B78,6),[4]中证可交换债券估值!$A:$H,6,FALSE),"")</f>
        <v>11.782</v>
      </c>
      <c r="O78" s="5">
        <f>IFERROR(VLOOKUP(LEFT($B78,6),[4]中证可交换债券估值!$A:$H,7,FALSE),"")</f>
        <v>96.011200000000002</v>
      </c>
    </row>
    <row r="79">
      <c r="A79" s="0" t="str">
        <f>TEXT([1]sheet1!B33,"yyyy-mm-dd")</f>
        <v>2026-08-17</v>
      </c>
      <c r="B79" s="0" t="str">
        <f>IF(LEN(TRIM([1]sheet1!D33))=6,TRIM([1]sheet1!D33)&amp;".SZ",TRIM([1]sheet1!D33))</f>
        <v>137206.SH</v>
      </c>
      <c r="C79" s="0" t="str">
        <f>IFERROR(VLOOKUP(LEFT($B79,6)&amp;"*",[2]可交债!$A:$H,2,FALSE),"")</f>
        <v>26南K1EB</v>
      </c>
      <c r="D79" s="0" t="str">
        <f>IFERROR(VLOOKUP(LEFT($B79,6)&amp;"*",[2]可交债!$A:$H,3,FALSE),"")</f>
        <v>600219.SH</v>
      </c>
      <c r="E79" s="0" t="str">
        <f>IFERROR(VLOOKUP(LEFT($B79,6)&amp;"*",[2]可交债!$A:$H,4,FALSE),"")</f>
        <v>南山铝业</v>
      </c>
      <c r="F79" s="7">
        <f>[1]sheet1!M33</f>
        <v>213.099999999999994</v>
      </c>
      <c r="G79" s="7">
        <f>[1]sheet1!L33*100</f>
        <v>20000</v>
      </c>
      <c r="H79" s="7">
        <f>IF(G79=0,"",ROUND(F79*10000/G79,4))</f>
        <v>106.549999999999997</v>
      </c>
      <c r="I79" s="8">
        <f>IFERROR(VLOOKUP(LEFT($B79,6)&amp;"*",[2]可交债!$A:$H,5,FALSE),"")</f>
        <v>0.1</v>
      </c>
      <c r="J79" s="8">
        <f>IFERROR(VLOOKUP(LEFT($B79,6)&amp;"*",[2]可交债!$A:$H,6,FALSE),"")</f>
        <v>0</v>
      </c>
      <c r="K79" s="8">
        <f>IFERROR(VLOOKUP(LEFT($B79,6)&amp;"*",[2]可交债!$A:$H,7,FALSE),"")</f>
        <v>7.36</v>
      </c>
      <c r="L79" s="8">
        <f>IFERROR(VLOOKUP(LEFT($B79,6)&amp;"*",[2]可交债!$A:$H,8,FALSE),"")</f>
        <v>4.86</v>
      </c>
      <c r="M79" s="8">
        <f>IFERROR(VLOOKUP(LEFT($B79,6),[4]中证可交换债券估值!$A:$H,5,FALSE),"")</f>
        <v>107.793199999999999</v>
      </c>
      <c r="N79" s="8">
        <f>IFERROR(VLOOKUP(LEFT($B79,6),[4]中证可交换债券估值!$A:$H,6,FALSE),"")</f>
        <v>11.782</v>
      </c>
      <c r="O79" s="5">
        <f>IFERROR(VLOOKUP(LEFT($B79,6),[4]中证可交换债券估值!$A:$H,7,FALSE),"")</f>
        <v>96.011200000000002</v>
      </c>
    </row>
    <row r="80">
      <c r="A80" s="0" t="str">
        <f>TEXT([1]sheet1!$B$3,"yyyy-mm-dd")</f>
        <v>2026-08-17</v>
      </c>
      <c r="B80" s="0" t="str">
        <f>IF(LEN(TRIM([2]可交债!A52))=6,TRIM([2]可交债!A52)&amp;".SZ",TRIM([2]可交债!A52))</f>
        <v>137207.SH</v>
      </c>
      <c r="C80" s="0" t="str">
        <f>IFERROR(VLOOKUP(LEFT($B80,6)&amp;"*",[2]可交债!$A:$H,2,FALSE),"")</f>
        <v>26南K2EB</v>
      </c>
      <c r="D80" s="0" t="str">
        <f>IFERROR(VLOOKUP(LEFT($B80,6)&amp;"*",[2]可交债!$A:$H,3,FALSE),"")</f>
        <v>600219.SH</v>
      </c>
      <c r="E80" s="0" t="str">
        <f>IFERROR(VLOOKUP(LEFT($B80,6)&amp;"*",[2]可交债!$A:$H,4,FALSE),"")</f>
        <v>南山铝业</v>
      </c>
      <c r="F80" s="7">
        <f>SUMPRODUCT((LEFT(TRIM('[3]现券交易信息（逐笔）'!$B$2:$B$500),6)=LEFT($B80,6))*(IFERROR(--SUBSTITUTE('[3]现券交易信息（逐笔）'!$G$2:$G$500,",",""),0)))+SUMIF([1]sheet1!$D$2:$D$500,LEFT($B80,6)&amp;"*",[1]sheet1!$M$2:$M$500)</f>
        <v>0</v>
      </c>
      <c r="G80" s="7">
        <f>SUMPRODUCT((LEFT(TRIM('[3]现券交易信息（逐笔）'!$B$2:$B$500),6)=LEFT($B80,6))*(IFERROR(--SUBSTITUTE('[3]现券交易信息（逐笔）'!$F$2:$F$500,",",""),0)*100))+SUMIF([1]sheet1!$D$2:$D$500,LEFT($B80,6)&amp;"*",[1]sheet1!$L$2:$L$500)*100</f>
        <v>0</v>
      </c>
      <c r="H80" s="7" t="str">
        <f>IF(G80=0,"",ROUND(F80*10000/G80,4))</f>
        <v/>
      </c>
      <c r="I80" s="8">
        <f>IFERROR(VLOOKUP(LEFT($B80,6)&amp;"*",[2]可交债!$A:$H,5,FALSE),"")</f>
        <v>1.6</v>
      </c>
      <c r="J80" s="8">
        <f>IFERROR(VLOOKUP(LEFT($B80,6)&amp;"*",[2]可交债!$A:$H,6,FALSE),"")</f>
        <v>0</v>
      </c>
      <c r="K80" s="8">
        <f>IFERROR(VLOOKUP(LEFT($B80,6)&amp;"*",[2]可交债!$A:$H,7,FALSE),"")</f>
        <v>29.859999999999999</v>
      </c>
      <c r="L80" s="8">
        <f>IFERROR(VLOOKUP(LEFT($B80,6)&amp;"*",[2]可交债!$A:$H,8,FALSE),"")</f>
        <v>4.86</v>
      </c>
      <c r="M80" s="8">
        <f>IFERROR(VLOOKUP(LEFT($B80,6),[4]中证可交换债券估值!$A:$H,5,FALSE),"")</f>
        <v>100.853200000000001</v>
      </c>
      <c r="N80" s="8">
        <f>IFERROR(VLOOKUP(LEFT($B80,6),[4]中证可交换债券估值!$A:$H,6,FALSE),"")</f>
        <v>0.1698</v>
      </c>
      <c r="O80" s="5">
        <f>IFERROR(VLOOKUP(LEFT($B80,6),[4]中证可交换债券估值!$A:$H,7,FALSE),"")</f>
        <v>100.683400000000006</v>
      </c>
    </row>
    <row r="81">
      <c r="A81" s="0" t="str">
        <f>TEXT([1]sheet1!$B$3,"yyyy-mm-dd")</f>
        <v>2026-08-17</v>
      </c>
      <c r="B81" s="0" t="str">
        <f>IF(LEN(TRIM([2]可交债!A53))=6,TRIM([2]可交债!A53)&amp;".SZ",TRIM([2]可交债!A53))</f>
        <v>137204.SH</v>
      </c>
      <c r="C81" s="0" t="str">
        <f>IFERROR(VLOOKUP(LEFT($B81,6)&amp;"*",[2]可交债!$A:$H,2,FALSE),"")</f>
        <v>26蜀道EB</v>
      </c>
      <c r="D81" s="0" t="str">
        <f>IFERROR(VLOOKUP(LEFT($B81,6)&amp;"*",[2]可交债!$A:$H,3,FALSE),"")</f>
        <v>600039.SH</v>
      </c>
      <c r="E81" s="0" t="str">
        <f>IFERROR(VLOOKUP(LEFT($B81,6)&amp;"*",[2]可交债!$A:$H,4,FALSE),"")</f>
        <v>四川路桥</v>
      </c>
      <c r="F81" s="7">
        <f>SUMPRODUCT((LEFT(TRIM('[3]现券交易信息（逐笔）'!$B$2:$B$500),6)=LEFT($B81,6))*(IFERROR(--SUBSTITUTE('[3]现券交易信息（逐笔）'!$G$2:$G$500,",",""),0)))+SUMIF([1]sheet1!$D$2:$D$500,LEFT($B81,6)&amp;"*",[1]sheet1!$M$2:$M$500)</f>
        <v>0</v>
      </c>
      <c r="G81" s="7">
        <f>SUMPRODUCT((LEFT(TRIM('[3]现券交易信息（逐笔）'!$B$2:$B$500),6)=LEFT($B81,6))*(IFERROR(--SUBSTITUTE('[3]现券交易信息（逐笔）'!$F$2:$F$500,",",""),0)*100))+SUMIF([1]sheet1!$D$2:$D$500,LEFT($B81,6)&amp;"*",[1]sheet1!$L$2:$L$500)*100</f>
        <v>0</v>
      </c>
      <c r="H81" s="7" t="str">
        <f>IF(G81=0,"",ROUND(F81*10000/G81,4))</f>
        <v/>
      </c>
      <c r="I81" s="8">
        <f>IFERROR(VLOOKUP(LEFT($B81,6)&amp;"*",[2]可交债!$A:$H,5,FALSE),"")</f>
        <v>0.01</v>
      </c>
      <c r="J81" s="8">
        <f>IFERROR(VLOOKUP(LEFT($B81,6)&amp;"*",[2]可交债!$A:$H,6,FALSE),"")</f>
        <v>1</v>
      </c>
      <c r="K81" s="8">
        <f>IFERROR(VLOOKUP(LEFT($B81,6)&amp;"*",[2]可交债!$A:$H,7,FALSE),"")</f>
        <v>10.52</v>
      </c>
      <c r="L81" s="8">
        <f>IFERROR(VLOOKUP(LEFT($B81,6)&amp;"*",[2]可交债!$A:$H,8,FALSE),"")</f>
        <v>8.470000000000001</v>
      </c>
      <c r="M81" s="8">
        <f>IFERROR(VLOOKUP(LEFT($B81,6),[4]中证可交换债券估值!$A:$H,5,FALSE),"")</f>
        <v>105.720600000000005</v>
      </c>
      <c r="N81" s="8">
        <f>IFERROR(VLOOKUP(LEFT($B81,6),[4]中证可交换债券估值!$A:$H,6,FALSE),"")</f>
        <v>9.164099999999999</v>
      </c>
      <c r="O81" s="5">
        <f>IFERROR(VLOOKUP(LEFT($B81,6),[4]中证可交换债券估值!$A:$H,7,FALSE),"")</f>
        <v>96.5565</v>
      </c>
    </row>
    <row r="82">
      <c r="A82" s="0" t="str">
        <f>'[3]现券交易信息（逐笔）'!A5</f>
        <v>2026-08-17</v>
      </c>
      <c r="B82" s="0" t="str">
        <f>IF(LEN(TRIM('[3]现券交易信息（逐笔）'!B5))=6,TRIM('[3]现券交易信息（逐笔）'!B5)&amp;".SZ",TRIM('[3]现券交易信息（逐笔）'!B5))</f>
        <v>117251.SZ</v>
      </c>
      <c r="C82" s="0" t="str">
        <f>IFERROR(VLOOKUP(LEFT($B82,6)&amp;"*",[2]可交债!$A:$H,2,FALSE),"")</f>
        <v>26顺控KEB1</v>
      </c>
      <c r="D82" s="0" t="str">
        <f>IFERROR(VLOOKUP(LEFT($B82,6)&amp;"*",[2]可交债!$A:$H,3,FALSE),"")</f>
        <v>003039.SZ</v>
      </c>
      <c r="E82" s="0" t="str">
        <f>IFERROR(VLOOKUP(LEFT($B82,6)&amp;"*",[2]可交债!$A:$H,4,FALSE),"")</f>
        <v>顺控发展</v>
      </c>
      <c r="F82" s="7">
        <f>VALUE(SUBSTITUTE('[3]现券交易信息（逐笔）'!G5,",",""))</f>
        <v>1080</v>
      </c>
      <c r="G82" s="7">
        <f>VALUE(SUBSTITUTE('[3]现券交易信息（逐笔）'!F5,",",""))*100</f>
        <v>100000</v>
      </c>
      <c r="H82" s="7">
        <f>IF(G82=0,"",ROUND(F82*10000/G82,4))</f>
        <v>108</v>
      </c>
      <c r="I82" s="8">
        <f>IFERROR(VLOOKUP(LEFT($B82,6)&amp;"*",[2]可交债!$A:$H,5,FALSE),"")</f>
        <v>0.01</v>
      </c>
      <c r="J82" s="8">
        <f>IFERROR(VLOOKUP(LEFT($B82,6)&amp;"*",[2]可交债!$A:$H,6,FALSE),"")</f>
        <v>3</v>
      </c>
      <c r="K82" s="8">
        <f>IFERROR(VLOOKUP(LEFT($B82,6)&amp;"*",[2]可交债!$A:$H,7,FALSE),"")</f>
        <v>17.77</v>
      </c>
      <c r="L82" s="8">
        <f>IFERROR(VLOOKUP(LEFT($B82,6)&amp;"*",[2]可交债!$A:$H,8,FALSE),"")</f>
        <v>11.91</v>
      </c>
      <c r="M82" s="8">
        <f>IFERROR(VLOOKUP(LEFT($B82,6),[4]中证可交换债券估值!$A:$H,5,FALSE),"")</f>
        <v>106.112300000000005</v>
      </c>
      <c r="N82" s="8">
        <f>IFERROR(VLOOKUP(LEFT($B82,6),[4]中证可交换债券估值!$A:$H,6,FALSE),"")</f>
        <v>7.1931</v>
      </c>
      <c r="O82" s="5">
        <f>IFERROR(VLOOKUP(LEFT($B82,6),[4]中证可交换债券估值!$A:$H,7,FALSE),"")</f>
        <v>98.919200000000004</v>
      </c>
    </row>
    <row r="83">
      <c r="A83" s="0" t="str">
        <f>'[3]现券交易信息（逐笔）'!A2</f>
        <v>2026-08-17</v>
      </c>
      <c r="B83" s="0" t="str">
        <f>IF(LEN(TRIM('[3]现券交易信息（逐笔）'!B2))=6,TRIM('[3]现券交易信息（逐笔）'!B2)&amp;".SZ",TRIM('[3]现券交易信息（逐笔）'!B2))</f>
        <v>117249.SZ</v>
      </c>
      <c r="C83" s="0" t="str">
        <f>IFERROR(VLOOKUP(LEFT($B83,6)&amp;"*",[2]可交债!$A:$H,2,FALSE),"")</f>
        <v>26希望KEB1</v>
      </c>
      <c r="D83" s="0" t="str">
        <f>IFERROR(VLOOKUP(LEFT($B83,6)&amp;"*",[2]可交债!$A:$H,3,FALSE),"")</f>
        <v>000876.SZ</v>
      </c>
      <c r="E83" s="0" t="str">
        <f>IFERROR(VLOOKUP(LEFT($B83,6)&amp;"*",[2]可交债!$A:$H,4,FALSE),"")</f>
        <v>新希望</v>
      </c>
      <c r="F83" s="7">
        <f>VALUE(SUBSTITUTE('[3]现券交易信息（逐笔）'!G2,",",""))</f>
        <v>901.799999999999955</v>
      </c>
      <c r="G83" s="7">
        <f>VALUE(SUBSTITUTE('[3]现券交易信息（逐笔）'!F2,",",""))*100</f>
        <v>90000</v>
      </c>
      <c r="H83" s="7">
        <f>IF(G83=0,"",ROUND(F83*10000/G83,4))</f>
        <v>100.200000000000003</v>
      </c>
      <c r="I83" s="8">
        <f>IFERROR(VLOOKUP(LEFT($B83,6)&amp;"*",[2]可交债!$A:$H,5,FALSE),"")</f>
        <v>0.1</v>
      </c>
      <c r="J83" s="8">
        <f>IFERROR(VLOOKUP(LEFT($B83,6)&amp;"*",[2]可交债!$A:$H,6,FALSE),"")</f>
        <v>1</v>
      </c>
      <c r="K83" s="8">
        <f>IFERROR(VLOOKUP(LEFT($B83,6)&amp;"*",[2]可交债!$A:$H,7,FALSE),"")</f>
        <v>12.380000000000001</v>
      </c>
      <c r="L83" s="8">
        <f>IFERROR(VLOOKUP(LEFT($B83,6)&amp;"*",[2]可交债!$A:$H,8,FALSE),"")</f>
        <v>6.93</v>
      </c>
      <c r="M83" s="8">
        <f>IFERROR(VLOOKUP(LEFT($B83,6),[4]中证可交换债券估值!$A:$H,5,FALSE),"")</f>
        <v>100.965000000000003</v>
      </c>
      <c r="N83" s="8">
        <f>IFERROR(VLOOKUP(LEFT($B83,6),[4]中证可交换债券估值!$A:$H,6,FALSE),"")</f>
        <v>7.8291</v>
      </c>
      <c r="O83" s="5">
        <f>IFERROR(VLOOKUP(LEFT($B83,6),[4]中证可交换债券估值!$A:$H,7,FALSE),"")</f>
        <v>93.135900000000007</v>
      </c>
    </row>
    <row r="84">
      <c r="A84" s="0" t="str">
        <f>'[3]现券交易信息（逐笔）'!A3</f>
        <v>2026-08-17</v>
      </c>
      <c r="B84" s="0" t="str">
        <f>IF(LEN(TRIM('[3]现券交易信息（逐笔）'!B3))=6,TRIM('[3]现券交易信息（逐笔）'!B3)&amp;".SZ",TRIM('[3]现券交易信息（逐笔）'!B3))</f>
        <v>117249.SZ</v>
      </c>
      <c r="C84" s="0" t="str">
        <f>IFERROR(VLOOKUP(LEFT($B84,6)&amp;"*",[2]可交债!$A:$H,2,FALSE),"")</f>
        <v>26希望KEB1</v>
      </c>
      <c r="D84" s="0" t="str">
        <f>IFERROR(VLOOKUP(LEFT($B84,6)&amp;"*",[2]可交债!$A:$H,3,FALSE),"")</f>
        <v>000876.SZ</v>
      </c>
      <c r="E84" s="0" t="str">
        <f>IFERROR(VLOOKUP(LEFT($B84,6)&amp;"*",[2]可交债!$A:$H,4,FALSE),"")</f>
        <v>新希望</v>
      </c>
      <c r="F84" s="7">
        <f>VALUE(SUBSTITUTE('[3]现券交易信息（逐笔）'!G3,",",""))</f>
        <v>100.200000000000003</v>
      </c>
      <c r="G84" s="7">
        <f>VALUE(SUBSTITUTE('[3]现券交易信息（逐笔）'!F3,",",""))*100</f>
        <v>10000</v>
      </c>
      <c r="H84" s="7">
        <f>IF(G84=0,"",ROUND(F84*10000/G84,4))</f>
        <v>100.200000000000003</v>
      </c>
      <c r="I84" s="8">
        <f>IFERROR(VLOOKUP(LEFT($B84,6)&amp;"*",[2]可交债!$A:$H,5,FALSE),"")</f>
        <v>0.1</v>
      </c>
      <c r="J84" s="8">
        <f>IFERROR(VLOOKUP(LEFT($B84,6)&amp;"*",[2]可交债!$A:$H,6,FALSE),"")</f>
        <v>1</v>
      </c>
      <c r="K84" s="8">
        <f>IFERROR(VLOOKUP(LEFT($B84,6)&amp;"*",[2]可交债!$A:$H,7,FALSE),"")</f>
        <v>12.380000000000001</v>
      </c>
      <c r="L84" s="8">
        <f>IFERROR(VLOOKUP(LEFT($B84,6)&amp;"*",[2]可交债!$A:$H,8,FALSE),"")</f>
        <v>6.93</v>
      </c>
      <c r="M84" s="8">
        <f>IFERROR(VLOOKUP(LEFT($B84,6),[4]中证可交换债券估值!$A:$H,5,FALSE),"")</f>
        <v>100.965000000000003</v>
      </c>
      <c r="N84" s="8">
        <f>IFERROR(VLOOKUP(LEFT($B84,6),[4]中证可交换债券估值!$A:$H,6,FALSE),"")</f>
        <v>7.8291</v>
      </c>
      <c r="O84" s="5">
        <f>IFERROR(VLOOKUP(LEFT($B84,6),[4]中证可交换债券估值!$A:$H,7,FALSE),"")</f>
        <v>93.135900000000007</v>
      </c>
    </row>
    <row r="85">
      <c r="A85" s="0" t="str">
        <f>TEXT([1]sheet1!$B$3,"yyyy-mm-dd")</f>
        <v>2026-08-17</v>
      </c>
      <c r="B85" s="0" t="str">
        <f>IF(LEN(TRIM([2]可交债!A56))=6,TRIM([2]可交债!A56)&amp;".SZ",TRIM([2]可交债!A56))</f>
        <v>117248.SZ</v>
      </c>
      <c r="C85" s="0" t="str">
        <f>IFERROR(VLOOKUP(LEFT($B85,6)&amp;"*",[2]可交债!$A:$H,2,FALSE),"")</f>
        <v>26盈峰EB</v>
      </c>
      <c r="D85" s="0" t="str">
        <f>IFERROR(VLOOKUP(LEFT($B85,6)&amp;"*",[2]可交债!$A:$H,3,FALSE),"")</f>
        <v>000967.SZ</v>
      </c>
      <c r="E85" s="0" t="str">
        <f>IFERROR(VLOOKUP(LEFT($B85,6)&amp;"*",[2]可交债!$A:$H,4,FALSE),"")</f>
        <v>盈峰环境</v>
      </c>
      <c r="F85" s="7">
        <f>SUMPRODUCT((LEFT(TRIM('[3]现券交易信息（逐笔）'!$B$2:$B$500),6)=LEFT($B85,6))*(IFERROR(--SUBSTITUTE('[3]现券交易信息（逐笔）'!$G$2:$G$500,",",""),0)))+SUMIF([1]sheet1!$D$2:$D$500,LEFT($B85,6)&amp;"*",[1]sheet1!$M$2:$M$500)</f>
        <v>0</v>
      </c>
      <c r="G85" s="7">
        <f>SUMPRODUCT((LEFT(TRIM('[3]现券交易信息（逐笔）'!$B$2:$B$500),6)=LEFT($B85,6))*(IFERROR(--SUBSTITUTE('[3]现券交易信息（逐笔）'!$F$2:$F$500,",",""),0)*100))+SUMIF([1]sheet1!$D$2:$D$500,LEFT($B85,6)&amp;"*",[1]sheet1!$L$2:$L$500)*100</f>
        <v>0</v>
      </c>
      <c r="H85" s="7" t="str">
        <f>IF(G85=0,"",ROUND(F85*10000/G85,4))</f>
        <v/>
      </c>
      <c r="I85" s="8">
        <f>IFERROR(VLOOKUP(LEFT($B85,6)&amp;"*",[2]可交债!$A:$H,5,FALSE),"")</f>
        <v>0.01</v>
      </c>
      <c r="J85" s="8">
        <f>IFERROR(VLOOKUP(LEFT($B85,6)&amp;"*",[2]可交债!$A:$H,6,FALSE),"")</f>
        <v>3</v>
      </c>
      <c r="K85" s="8">
        <f>IFERROR(VLOOKUP(LEFT($B85,6)&amp;"*",[2]可交债!$A:$H,7,FALSE),"")</f>
        <v>9.869999999999999</v>
      </c>
      <c r="L85" s="8">
        <f>IFERROR(VLOOKUP(LEFT($B85,6)&amp;"*",[2]可交债!$A:$H,8,FALSE),"")</f>
        <v>9.210000000000001</v>
      </c>
      <c r="M85" s="8">
        <f>IFERROR(VLOOKUP(LEFT($B85,6),[4]中证可交换债券估值!$A:$H,5,FALSE),"")</f>
        <v>112.283900000000003</v>
      </c>
      <c r="N85" s="8">
        <f>IFERROR(VLOOKUP(LEFT($B85,6),[4]中证可交换债券估值!$A:$H,6,FALSE),"")</f>
        <v>13.639200000000001</v>
      </c>
      <c r="O85" s="5">
        <f>IFERROR(VLOOKUP(LEFT($B85,6),[4]中证可交换债券估值!$A:$H,7,FALSE),"")</f>
        <v>98.6447</v>
      </c>
    </row>
    <row r="86">
      <c r="A86" s="0" t="str">
        <f>TEXT([1]sheet1!$B$3,"yyyy-mm-dd")</f>
        <v>2026-08-17</v>
      </c>
      <c r="B86" s="0" t="str">
        <f>IF(LEN(TRIM([2]可交债!A57))=6,TRIM([2]可交债!A57)&amp;".SZ",TRIM([2]可交债!A57))</f>
        <v>117255.SZ</v>
      </c>
      <c r="C86" s="0" t="str">
        <f>IFERROR(VLOOKUP(LEFT($B86,6)&amp;"*",[2]可交债!$A:$H,2,FALSE),"")</f>
        <v>26粤能源EB</v>
      </c>
      <c r="D86" s="0" t="str">
        <f>IFERROR(VLOOKUP(LEFT($B86,6)&amp;"*",[2]可交债!$A:$H,3,FALSE),"")</f>
        <v>003035.SZ</v>
      </c>
      <c r="E86" s="0" t="str">
        <f>IFERROR(VLOOKUP(LEFT($B86,6)&amp;"*",[2]可交债!$A:$H,4,FALSE),"")</f>
        <v>南网能源</v>
      </c>
      <c r="F86" s="7">
        <f>SUMPRODUCT((LEFT(TRIM('[3]现券交易信息（逐笔）'!$B$2:$B$500),6)=LEFT($B86,6))*(IFERROR(--SUBSTITUTE('[3]现券交易信息（逐笔）'!$G$2:$G$500,",",""),0)))+SUMIF([1]sheet1!$D$2:$D$500,LEFT($B86,6)&amp;"*",[1]sheet1!$M$2:$M$500)</f>
        <v>0</v>
      </c>
      <c r="G86" s="7">
        <f>SUMPRODUCT((LEFT(TRIM('[3]现券交易信息（逐笔）'!$B$2:$B$500),6)=LEFT($B86,6))*(IFERROR(--SUBSTITUTE('[3]现券交易信息（逐笔）'!$F$2:$F$500,",",""),0)*100))+SUMIF([1]sheet1!$D$2:$D$500,LEFT($B86,6)&amp;"*",[1]sheet1!$L$2:$L$500)*100</f>
        <v>0</v>
      </c>
      <c r="H86" s="7" t="str">
        <f>IF(G86=0,"",ROUND(F86*10000/G86,4))</f>
        <v/>
      </c>
      <c r="I86" s="8">
        <f>IFERROR(VLOOKUP(LEFT($B86,6)&amp;"*",[2]可交债!$A:$H,5,FALSE),"")</f>
        <v>0.01</v>
      </c>
      <c r="J86" s="8">
        <f>IFERROR(VLOOKUP(LEFT($B86,6)&amp;"*",[2]可交债!$A:$H,6,FALSE),"")</f>
        <v>0</v>
      </c>
      <c r="K86" s="8">
        <f>IFERROR(VLOOKUP(LEFT($B86,6)&amp;"*",[2]可交债!$A:$H,7,FALSE),"")</f>
        <v>12.880000000000001</v>
      </c>
      <c r="L86" s="8">
        <f>IFERROR(VLOOKUP(LEFT($B86,6)&amp;"*",[2]可交债!$A:$H,8,FALSE),"")</f>
        <v>5.45</v>
      </c>
      <c r="M86" s="8">
        <f>IFERROR(VLOOKUP(LEFT($B86,6),[4]中证可交换债券估值!$A:$H,5,FALSE),"")</f>
        <v>99.579599999999999</v>
      </c>
      <c r="N86" s="8">
        <f>IFERROR(VLOOKUP(LEFT($B86,6),[4]中证可交换债券估值!$A:$H,6,FALSE),"")</f>
        <v>4.2225</v>
      </c>
      <c r="O86" s="5">
        <f>IFERROR(VLOOKUP(LEFT($B86,6),[4]中证可交换债券估值!$A:$H,7,FALSE),"")</f>
        <v>95.357100000000003</v>
      </c>
    </row>
    <row r="87">
      <c r="A87" s="0" t="str">
        <f>TEXT([1]sheet1!$B$3,"yyyy-mm-dd")</f>
        <v>2026-08-17</v>
      </c>
      <c r="B87" s="0" t="str">
        <f>IF(LEN(TRIM([2]可交债!A58))=6,TRIM([2]可交债!A58)&amp;".SZ",TRIM([2]可交债!A58))</f>
        <v>117254.SZ</v>
      </c>
      <c r="C87" s="0" t="str">
        <f>IFERROR(VLOOKUP(LEFT($B87,6)&amp;"*",[2]可交债!$A:$H,2,FALSE),"")</f>
        <v>26粤能源KEB</v>
      </c>
      <c r="D87" s="0" t="str">
        <f>IFERROR(VLOOKUP(LEFT($B87,6)&amp;"*",[2]可交债!$A:$H,3,FALSE),"")</f>
        <v>000539.SZ</v>
      </c>
      <c r="E87" s="0" t="str">
        <f>IFERROR(VLOOKUP(LEFT($B87,6)&amp;"*",[2]可交债!$A:$H,4,FALSE),"")</f>
        <v>粤电力A</v>
      </c>
      <c r="F87" s="7">
        <f>SUMPRODUCT((LEFT(TRIM('[3]现券交易信息（逐笔）'!$B$2:$B$500),6)=LEFT($B87,6))*(IFERROR(--SUBSTITUTE('[3]现券交易信息（逐笔）'!$G$2:$G$500,",",""),0)))+SUMIF([1]sheet1!$D$2:$D$500,LEFT($B87,6)&amp;"*",[1]sheet1!$M$2:$M$500)</f>
        <v>0</v>
      </c>
      <c r="G87" s="7">
        <f>SUMPRODUCT((LEFT(TRIM('[3]现券交易信息（逐笔）'!$B$2:$B$500),6)=LEFT($B87,6))*(IFERROR(--SUBSTITUTE('[3]现券交易信息（逐笔）'!$F$2:$F$500,",",""),0)*100))+SUMIF([1]sheet1!$D$2:$D$500,LEFT($B87,6)&amp;"*",[1]sheet1!$L$2:$L$500)*100</f>
        <v>0</v>
      </c>
      <c r="H87" s="7" t="str">
        <f>IF(G87=0,"",ROUND(F87*10000/G87,4))</f>
        <v/>
      </c>
      <c r="I87" s="8">
        <f>IFERROR(VLOOKUP(LEFT($B87,6)&amp;"*",[2]可交债!$A:$H,5,FALSE),"")</f>
        <v>0.01</v>
      </c>
      <c r="J87" s="8">
        <f>IFERROR(VLOOKUP(LEFT($B87,6)&amp;"*",[2]可交债!$A:$H,6,FALSE),"")</f>
        <v>0</v>
      </c>
      <c r="K87" s="8">
        <f>IFERROR(VLOOKUP(LEFT($B87,6)&amp;"*",[2]可交债!$A:$H,7,FALSE),"")</f>
        <v>12.48</v>
      </c>
      <c r="L87" s="8">
        <f>IFERROR(VLOOKUP(LEFT($B87,6)&amp;"*",[2]可交债!$A:$H,8,FALSE),"")</f>
        <v>5.64</v>
      </c>
      <c r="M87" s="8">
        <f>IFERROR(VLOOKUP(LEFT($B87,6),[4]中证可交换债券估值!$A:$H,5,FALSE),"")</f>
        <v>100.216399999999993</v>
      </c>
      <c r="N87" s="8">
        <f>IFERROR(VLOOKUP(LEFT($B87,6),[4]中证可交换债券估值!$A:$H,6,FALSE),"")</f>
        <v>8.372299999999999</v>
      </c>
      <c r="O87" s="5">
        <f>IFERROR(VLOOKUP(LEFT($B87,6),[4]中证可交换债券估值!$A:$H,7,FALSE),"")</f>
        <v>91.844099999999997</v>
      </c>
    </row>
    <row r="88">
      <c r="A88" s="0" t="str">
        <f>TEXT([1]sheet1!$B$3,"yyyy-mm-dd")</f>
        <v>2026-08-17</v>
      </c>
      <c r="B88" s="0" t="str">
        <f>IF(LEN(TRIM([2]可交债!A59))=6,TRIM([2]可交债!A59)&amp;".SZ",TRIM([2]可交债!A59))</f>
        <v>132026.SH</v>
      </c>
      <c r="C88" s="0" t="str">
        <f>IFERROR(VLOOKUP(LEFT($B88,6)&amp;"*",[2]可交债!$A:$H,2,FALSE),"")</f>
        <v>G三峡EB2</v>
      </c>
      <c r="D88" s="0" t="str">
        <f>IFERROR(VLOOKUP(LEFT($B88,6)&amp;"*",[2]可交债!$A:$H,3,FALSE),"")</f>
        <v>600900.SH</v>
      </c>
      <c r="E88" s="0" t="str">
        <f>IFERROR(VLOOKUP(LEFT($B88,6)&amp;"*",[2]可交债!$A:$H,4,FALSE),"")</f>
        <v>长江电力</v>
      </c>
      <c r="F88" s="7">
        <f>SUMPRODUCT((LEFT(TRIM('[3]现券交易信息（逐笔）'!$B$2:$B$500),6)=LEFT($B88,6))*(IFERROR(--SUBSTITUTE('[3]现券交易信息（逐笔）'!$G$2:$G$500,",",""),0)))+SUMIF([1]sheet1!$D$2:$D$500,LEFT($B88,6)&amp;"*",[1]sheet1!$M$2:$M$500)</f>
        <v>0</v>
      </c>
      <c r="G88" s="7">
        <f>SUMPRODUCT((LEFT(TRIM('[3]现券交易信息（逐笔）'!$B$2:$B$500),6)=LEFT($B88,6))*(IFERROR(--SUBSTITUTE('[3]现券交易信息（逐笔）'!$F$2:$F$500,",",""),0)*100))+SUMIF([1]sheet1!$D$2:$D$500,LEFT($B88,6)&amp;"*",[1]sheet1!$L$2:$L$500)*100</f>
        <v>0</v>
      </c>
      <c r="H88" s="7" t="str">
        <f>IF(G88=0,"",ROUND(F88*10000/G88,4))</f>
        <v/>
      </c>
      <c r="I88" s="8">
        <f>IFERROR(VLOOKUP(LEFT($B88,6)&amp;"*",[2]可交债!$A:$H,5,FALSE),"")</f>
        <v>0.1</v>
      </c>
      <c r="J88" s="8">
        <f>IFERROR(VLOOKUP(LEFT($B88,6)&amp;"*",[2]可交债!$A:$H,6,FALSE),"")</f>
        <v>8</v>
      </c>
      <c r="K88" s="8">
        <f>IFERROR(VLOOKUP(LEFT($B88,6)&amp;"*",[2]可交债!$A:$H,7,FALSE),"")</f>
        <v>21.199999999999999</v>
      </c>
      <c r="L88" s="8">
        <f>IFERROR(VLOOKUP(LEFT($B88,6)&amp;"*",[2]可交债!$A:$H,8,FALSE),"")</f>
        <v>27.960000000000001</v>
      </c>
      <c r="M88" s="8">
        <f>IFERROR(VLOOKUP(LEFT($B88,6),[4]中证可交换债券估值!$A:$H,5,FALSE),"")</f>
        <v>134.815400000000011</v>
      </c>
      <c r="N88" s="8">
        <f>IFERROR(VLOOKUP(LEFT($B88,6),[4]中证可交换债券估值!$A:$H,6,FALSE),"")</f>
        <v>27.925000000000001</v>
      </c>
      <c r="O88" s="5">
        <f>IFERROR(VLOOKUP(LEFT($B88,6),[4]中证可交换债券估值!$A:$H,7,FALSE),"")</f>
        <v>106.8904</v>
      </c>
    </row>
    <row r="89">
      <c r="A89" s="0" t="str">
        <f>TEXT([1]sheet1!$B$3,"yyyy-mm-dd")</f>
        <v>2026-08-17</v>
      </c>
      <c r="B89" s="0" t="str">
        <f>IF(LEN(TRIM([2]可交债!A60))=6,TRIM([2]可交债!A60)&amp;".SZ",TRIM([2]可交债!A60))</f>
        <v>137199.SH</v>
      </c>
      <c r="C89" s="0" t="str">
        <f>IFERROR(VLOOKUP(LEFT($B89,6)&amp;"*",[2]可交债!$A:$H,2,FALSE),"")</f>
        <v>晋交KEB</v>
      </c>
      <c r="D89" s="0" t="str">
        <f>IFERROR(VLOOKUP(LEFT($B89,6)&amp;"*",[2]可交债!$A:$H,3,FALSE),"")</f>
        <v>603112.SH</v>
      </c>
      <c r="E89" s="0" t="str">
        <f>IFERROR(VLOOKUP(LEFT($B89,6)&amp;"*",[2]可交债!$A:$H,4,FALSE),"")</f>
        <v>华翔股份</v>
      </c>
      <c r="F89" s="7">
        <f>SUMPRODUCT((LEFT(TRIM('[3]现券交易信息（逐笔）'!$B$2:$B$500),6)=LEFT($B89,6))*(IFERROR(--SUBSTITUTE('[3]现券交易信息（逐笔）'!$G$2:$G$500,",",""),0)))+SUMIF([1]sheet1!$D$2:$D$500,LEFT($B89,6)&amp;"*",[1]sheet1!$M$2:$M$500)</f>
        <v>0</v>
      </c>
      <c r="G89" s="7">
        <f>SUMPRODUCT((LEFT(TRIM('[3]现券交易信息（逐笔）'!$B$2:$B$500),6)=LEFT($B89,6))*(IFERROR(--SUBSTITUTE('[3]现券交易信息（逐笔）'!$F$2:$F$500,",",""),0)*100))+SUMIF([1]sheet1!$D$2:$D$500,LEFT($B89,6)&amp;"*",[1]sheet1!$L$2:$L$500)*100</f>
        <v>0</v>
      </c>
      <c r="H89" s="7" t="str">
        <f>IF(G89=0,"",ROUND(F89*10000/G89,4))</f>
        <v/>
      </c>
      <c r="I89" s="8">
        <f>IFERROR(VLOOKUP(LEFT($B89,6)&amp;"*",[2]可交债!$A:$H,5,FALSE),"")</f>
        <v>0.01</v>
      </c>
      <c r="J89" s="8">
        <f>IFERROR(VLOOKUP(LEFT($B89,6)&amp;"*",[2]可交债!$A:$H,6,FALSE),"")</f>
        <v>1.5</v>
      </c>
      <c r="K89" s="8">
        <f>IFERROR(VLOOKUP(LEFT($B89,6)&amp;"*",[2]可交债!$A:$H,7,FALSE),"")</f>
        <v>19.789999999999999</v>
      </c>
      <c r="L89" s="8">
        <f>IFERROR(VLOOKUP(LEFT($B89,6)&amp;"*",[2]可交债!$A:$H,8,FALSE),"")</f>
        <v>15.08</v>
      </c>
      <c r="M89" s="8">
        <f>IFERROR(VLOOKUP(LEFT($B89,6),[4]中证可交换债券估值!$A:$H,5,FALSE),"")</f>
        <v>111.532399999999996</v>
      </c>
      <c r="N89" s="8">
        <f>IFERROR(VLOOKUP(LEFT($B89,6),[4]中证可交换债券估值!$A:$H,6,FALSE),"")</f>
        <v>14.2148</v>
      </c>
      <c r="O89" s="5">
        <f>IFERROR(VLOOKUP(LEFT($B89,6),[4]中证可交换债券估值!$A:$H,7,FALSE),"")</f>
        <v>97.317599999999999</v>
      </c>
    </row>
    <row r="90">
      <c r="A90" s="0" t="str">
        <f>TEXT([1]sheet1!$B$3,"yyyy-mm-dd")</f>
        <v>2026-08-17</v>
      </c>
      <c r="B90" s="0" t="str">
        <f>IF(LEN(TRIM([2]可交债!A61))=6,TRIM([2]可交债!A61)&amp;".SZ",TRIM([2]可交债!A61))</f>
        <v>137201.SH</v>
      </c>
      <c r="C90" s="0" t="str">
        <f>IFERROR(VLOOKUP(LEFT($B90,6)&amp;"*",[2]可交债!$A:$H,2,FALSE),"")</f>
        <v>凌云KEB</v>
      </c>
      <c r="D90" s="0" t="str">
        <f>IFERROR(VLOOKUP(LEFT($B90,6)&amp;"*",[2]可交债!$A:$H,3,FALSE),"")</f>
        <v>600480.SH</v>
      </c>
      <c r="E90" s="0" t="str">
        <f>IFERROR(VLOOKUP(LEFT($B90,6)&amp;"*",[2]可交债!$A:$H,4,FALSE),"")</f>
        <v>凌云股份</v>
      </c>
      <c r="F90" s="7">
        <f>SUMPRODUCT((LEFT(TRIM('[3]现券交易信息（逐笔）'!$B$2:$B$500),6)=LEFT($B90,6))*(IFERROR(--SUBSTITUTE('[3]现券交易信息（逐笔）'!$G$2:$G$500,",",""),0)))+SUMIF([1]sheet1!$D$2:$D$500,LEFT($B90,6)&amp;"*",[1]sheet1!$M$2:$M$500)</f>
        <v>0</v>
      </c>
      <c r="G90" s="7">
        <f>SUMPRODUCT((LEFT(TRIM('[3]现券交易信息（逐笔）'!$B$2:$B$500),6)=LEFT($B90,6))*(IFERROR(--SUBSTITUTE('[3]现券交易信息（逐笔）'!$F$2:$F$500,",",""),0)*100))+SUMIF([1]sheet1!$D$2:$D$500,LEFT($B90,6)&amp;"*",[1]sheet1!$L$2:$L$500)*100</f>
        <v>0</v>
      </c>
      <c r="H90" s="7" t="str">
        <f>IF(G90=0,"",ROUND(F90*10000/G90,4))</f>
        <v/>
      </c>
      <c r="I90" s="8">
        <f>IFERROR(VLOOKUP(LEFT($B90,6)&amp;"*",[2]可交债!$A:$H,5,FALSE),"")</f>
        <v>0.01</v>
      </c>
      <c r="J90" s="8">
        <f>IFERROR(VLOOKUP(LEFT($B90,6)&amp;"*",[2]可交债!$A:$H,6,FALSE),"")</f>
        <v>3</v>
      </c>
      <c r="K90" s="8">
        <f>IFERROR(VLOOKUP(LEFT($B90,6)&amp;"*",[2]可交债!$A:$H,7,FALSE),"")</f>
        <v>13.300000000000001</v>
      </c>
      <c r="L90" s="8">
        <f>IFERROR(VLOOKUP(LEFT($B90,6)&amp;"*",[2]可交债!$A:$H,8,FALSE),"")</f>
        <v>8.699999999999999</v>
      </c>
      <c r="M90" s="8">
        <f>IFERROR(VLOOKUP(LEFT($B90,6),[4]中证可交换债券估值!$A:$H,5,FALSE),"")</f>
        <v>108.002099999999999</v>
      </c>
      <c r="N90" s="8">
        <f>IFERROR(VLOOKUP(LEFT($B90,6),[4]中证可交换债券估值!$A:$H,6,FALSE),"")</f>
        <v>9.2552</v>
      </c>
      <c r="O90" s="5">
        <f>IFERROR(VLOOKUP(LEFT($B90,6),[4]中证可交换债券估值!$A:$H,7,FALSE),"")</f>
        <v>98.746899999999997</v>
      </c>
    </row>
    <row r="91">
      <c r="A91" s="6" t="inlineStr">
        <is>
          <t>说明：标的按"可交债.xlsx"B列证券简称数值升序自动排序（编辑可交债.xlsx后重新运行本脚本即自动重排）；有成交的标的每笔成交一行，无成交的单行列出；成交均价=金额(万元)×10000÷成交量(张)；正股/利率等取自"可交债.xlsx"，估值取自中证估值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zhang</dc:creator>
  <dcterms:created xsi:type="dcterms:W3CDTF">2026-08-18T03:05:00Z</dcterms:created>
  <dcterms:modified xsi:type="dcterms:W3CDTF">2026-08-19T01:56:24Z</dcterms:modified>
  <cp:lastModifiedBy>徐舶洋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5DF8B9FC76754FFBA5DC87DC08B7DD51_11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