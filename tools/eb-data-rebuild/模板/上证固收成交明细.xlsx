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hang\Desktop\表格更新\20260817\"/>
    </mc:Choice>
  </mc:AlternateContent>
  <xr:revisionPtr revIDLastSave="0" documentId="13_ncr:1_{043779EE-FCBB-4148-A176-63341883CFB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</calcChain>
</file>

<file path=xl/sharedStrings.xml><?xml version="1.0" encoding="utf-8"?>
<sst xmlns="http://schemas.openxmlformats.org/spreadsheetml/2006/main" count="220" uniqueCount="94">
  <si>
    <t>序号</t>
  </si>
  <si>
    <t>成交日期</t>
  </si>
  <si>
    <t>成交时间</t>
  </si>
  <si>
    <t>证券代码</t>
  </si>
  <si>
    <t>证券名称</t>
  </si>
  <si>
    <t>剩余期限</t>
  </si>
  <si>
    <t>票面/参考利率(%)</t>
  </si>
  <si>
    <t>成交价</t>
  </si>
  <si>
    <t>成交收益率</t>
  </si>
  <si>
    <t>到期收益率</t>
  </si>
  <si>
    <t>行权收益率</t>
  </si>
  <si>
    <t>成交量(万)</t>
  </si>
  <si>
    <t>成交金额(万)</t>
  </si>
  <si>
    <t>债券类型</t>
  </si>
  <si>
    <t>可转债</t>
  </si>
  <si>
    <t>3</t>
  </si>
  <si>
    <t>15:14:29</t>
  </si>
  <si>
    <t>137208.SH</t>
  </si>
  <si>
    <t>26AQKEB</t>
  </si>
  <si>
    <t>2.9863</t>
  </si>
  <si>
    <t>4</t>
  </si>
  <si>
    <t>15:14:21</t>
  </si>
  <si>
    <t>5</t>
  </si>
  <si>
    <t>15:14:12</t>
  </si>
  <si>
    <t>6</t>
  </si>
  <si>
    <t>15:13:59</t>
  </si>
  <si>
    <t>8</t>
  </si>
  <si>
    <t>15:12:09</t>
  </si>
  <si>
    <t>9</t>
  </si>
  <si>
    <t>15:11:11</t>
  </si>
  <si>
    <t>137206.SH</t>
  </si>
  <si>
    <t>26南K1EB</t>
  </si>
  <si>
    <t>2.6822</t>
  </si>
  <si>
    <t>10</t>
  </si>
  <si>
    <t>15:10:59</t>
  </si>
  <si>
    <t>11</t>
  </si>
  <si>
    <t>15:06:35</t>
  </si>
  <si>
    <t>137188.SH</t>
  </si>
  <si>
    <t>24穗港EB</t>
  </si>
  <si>
    <t>1.1808</t>
  </si>
  <si>
    <t>12</t>
  </si>
  <si>
    <t>15:06:32</t>
  </si>
  <si>
    <t>13</t>
  </si>
  <si>
    <t>15:06:26</t>
  </si>
  <si>
    <t>14</t>
  </si>
  <si>
    <t>15:06:11</t>
  </si>
  <si>
    <t>15</t>
  </si>
  <si>
    <t>15:02:52</t>
  </si>
  <si>
    <t>16</t>
  </si>
  <si>
    <t>15:02:20</t>
  </si>
  <si>
    <t>17</t>
  </si>
  <si>
    <t>14:57:42</t>
  </si>
  <si>
    <t>18</t>
  </si>
  <si>
    <t>14:54:48</t>
  </si>
  <si>
    <t>19</t>
  </si>
  <si>
    <t>14:48:41</t>
  </si>
  <si>
    <t>137194.SH</t>
  </si>
  <si>
    <t>25蜀道EB</t>
  </si>
  <si>
    <t>1.6767</t>
  </si>
  <si>
    <t>20</t>
  </si>
  <si>
    <t>14:48:35</t>
  </si>
  <si>
    <t>21</t>
  </si>
  <si>
    <t>14:48:30</t>
  </si>
  <si>
    <t>22</t>
  </si>
  <si>
    <t>14:48:27</t>
  </si>
  <si>
    <t>23</t>
  </si>
  <si>
    <t>14:42:55</t>
  </si>
  <si>
    <t>24</t>
  </si>
  <si>
    <t>14:42:51</t>
  </si>
  <si>
    <t>25</t>
  </si>
  <si>
    <t>14:39:45</t>
  </si>
  <si>
    <t>26</t>
  </si>
  <si>
    <t>14:38:29</t>
  </si>
  <si>
    <t>27</t>
  </si>
  <si>
    <t>14:38:11</t>
  </si>
  <si>
    <t>28</t>
  </si>
  <si>
    <t>14:37:40</t>
  </si>
  <si>
    <t>29</t>
  </si>
  <si>
    <t>14:37:21</t>
  </si>
  <si>
    <t>30</t>
  </si>
  <si>
    <t>14:36:56</t>
  </si>
  <si>
    <t>31</t>
  </si>
  <si>
    <t>14:36:28</t>
  </si>
  <si>
    <t>32</t>
  </si>
  <si>
    <t>14:35:16</t>
  </si>
  <si>
    <t>33</t>
  </si>
  <si>
    <t>14:30:48</t>
  </si>
  <si>
    <t>34</t>
  </si>
  <si>
    <t>13:57:43</t>
  </si>
  <si>
    <t>35</t>
  </si>
  <si>
    <t>13:51:38</t>
  </si>
  <si>
    <t/>
  </si>
  <si>
    <t>数据来源：Wind</t>
  </si>
  <si>
    <t>24穗港EB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</si>
</sst>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00"/>
  </numFmts>
  <fonts count="8" x14ac:knownFonts="1">
    <font>
      <sz val="12"/>
      <name val="Calibri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176" fontId="3" fillId="0" borderId="3" xfId="0" applyNumberFormat="1" applyFont="1" applyBorder="1" applyAlignment="1">
      <alignment horizontal="left"/>
    </xf>
    <xf numFmtId="177" fontId="4" fillId="0" borderId="4" xfId="0" applyNumberFormat="1" applyFont="1" applyBorder="1" applyAlignment="1">
      <alignment horizontal="right"/>
    </xf>
    <xf numFmtId="4" fontId="5" fillId="0" borderId="5" xfId="0" applyNumberFormat="1" applyFont="1" applyBorder="1" applyAlignment="1">
      <alignment horizontal="right"/>
    </xf>
    <xf numFmtId="0" fontId="6" fillId="0" borderId="0" xfId="0" applyFont="1"/>
    <xf numFmtId="4" fontId="5" fillId="2" borderId="5" xfId="0" applyNumberFormat="1" applyFont="1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workbookViewId="0">
      <selection activeCell="H15" sqref="H15"/>
    </sheetView>
  </sheetViews>
  <sheetFormatPr defaultColWidth="11.19921875" defaultRowHeight="15.6" x14ac:dyDescent="0.3"/>
  <cols>
    <col min="1" max="1" width="7.69921875" customWidth="1"/>
    <col min="2" max="2" width="14.69921875" customWidth="1"/>
    <col min="3" max="3" width="8.69921875" customWidth="1"/>
    <col min="4" max="4" width="9.69921875" customWidth="1"/>
    <col min="5" max="6" width="8.69921875" customWidth="1"/>
    <col min="7" max="7" width="16.69921875" customWidth="1"/>
    <col min="8" max="8" width="11.09765625" bestFit="1" customWidth="1"/>
    <col min="9" max="12" width="10.69921875" customWidth="1"/>
    <col min="13" max="13" width="12.69921875" customWidth="1"/>
    <col min="14" max="14" width="8.6992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">
      <c r="A2" s="2" t="s">
        <v>35</v>
      </c>
      <c r="B2" s="3">
        <v>46251</v>
      </c>
      <c r="C2" s="2" t="s">
        <v>36</v>
      </c>
      <c r="D2" s="2" t="s">
        <v>37</v>
      </c>
      <c r="E2" s="2" t="s">
        <v>38</v>
      </c>
      <c r="F2" s="2" t="s">
        <v>39</v>
      </c>
      <c r="G2" s="4">
        <v>0.1</v>
      </c>
      <c r="H2" s="4">
        <v>110.05</v>
      </c>
      <c r="I2" s="4">
        <v>-3.8088000000000002</v>
      </c>
      <c r="J2" s="4">
        <v>-3.8088000000000002</v>
      </c>
      <c r="K2" s="4"/>
      <c r="L2" s="5">
        <v>300</v>
      </c>
      <c r="M2" s="7">
        <v>330.15</v>
      </c>
      <c r="N2" s="2" t="s">
        <v>14</v>
      </c>
      <c r="O2">
        <f>M2/H2*10000</f>
        <v>30000</v>
      </c>
    </row>
    <row r="3" spans="1:15" x14ac:dyDescent="0.3">
      <c r="A3" s="2" t="s">
        <v>44</v>
      </c>
      <c r="B3" s="3">
        <v>46251</v>
      </c>
      <c r="C3" s="2" t="s">
        <v>45</v>
      </c>
      <c r="D3" s="2" t="s">
        <v>37</v>
      </c>
      <c r="E3" s="2" t="s">
        <v>93</v>
      </c>
      <c r="F3" s="2" t="s">
        <v>39</v>
      </c>
      <c r="G3" s="4">
        <v>0.1</v>
      </c>
      <c r="H3" s="4">
        <v>110</v>
      </c>
      <c r="I3" s="4">
        <v>-3.7717999999999998</v>
      </c>
      <c r="J3" s="4">
        <v>-3.7717999999999998</v>
      </c>
      <c r="K3" s="4"/>
      <c r="L3" s="5">
        <v>300</v>
      </c>
      <c r="M3" s="7">
        <v>330</v>
      </c>
      <c r="N3" s="2" t="s">
        <v>14</v>
      </c>
      <c r="O3">
        <f t="shared" ref="O3:O33" si="0">M3/H3*10000</f>
        <v>30000</v>
      </c>
    </row>
    <row r="4" spans="1:15" x14ac:dyDescent="0.3">
      <c r="A4" s="2" t="s">
        <v>54</v>
      </c>
      <c r="B4" s="3">
        <v>46251</v>
      </c>
      <c r="C4" s="2" t="s">
        <v>55</v>
      </c>
      <c r="D4" s="2" t="s">
        <v>56</v>
      </c>
      <c r="E4" s="2" t="s">
        <v>57</v>
      </c>
      <c r="F4" s="2" t="s">
        <v>58</v>
      </c>
      <c r="G4" s="4">
        <v>0.01</v>
      </c>
      <c r="H4" s="4">
        <v>112</v>
      </c>
      <c r="I4" s="4">
        <v>-4.8642000000000003</v>
      </c>
      <c r="J4" s="4">
        <v>-4.8642000000000003</v>
      </c>
      <c r="K4" s="4"/>
      <c r="L4" s="5">
        <v>1000</v>
      </c>
      <c r="M4" s="5">
        <v>1120</v>
      </c>
      <c r="N4" s="2" t="s">
        <v>14</v>
      </c>
      <c r="O4">
        <f t="shared" si="0"/>
        <v>100000</v>
      </c>
    </row>
    <row r="5" spans="1:15" x14ac:dyDescent="0.3">
      <c r="A5" s="2" t="s">
        <v>59</v>
      </c>
      <c r="B5" s="3">
        <v>46251</v>
      </c>
      <c r="C5" s="2" t="s">
        <v>60</v>
      </c>
      <c r="D5" s="2" t="s">
        <v>56</v>
      </c>
      <c r="E5" s="2" t="s">
        <v>57</v>
      </c>
      <c r="F5" s="2" t="s">
        <v>58</v>
      </c>
      <c r="G5" s="4">
        <v>0.01</v>
      </c>
      <c r="H5" s="4">
        <v>112.05</v>
      </c>
      <c r="I5" s="4">
        <v>-4.8895999999999997</v>
      </c>
      <c r="J5" s="4">
        <v>-4.8895999999999997</v>
      </c>
      <c r="K5" s="4"/>
      <c r="L5" s="5">
        <v>300</v>
      </c>
      <c r="M5" s="5">
        <v>336.15</v>
      </c>
      <c r="N5" s="2" t="s">
        <v>14</v>
      </c>
      <c r="O5">
        <f t="shared" si="0"/>
        <v>30000</v>
      </c>
    </row>
    <row r="6" spans="1:15" x14ac:dyDescent="0.3">
      <c r="A6" s="2" t="s">
        <v>61</v>
      </c>
      <c r="B6" s="3">
        <v>46251</v>
      </c>
      <c r="C6" s="2" t="s">
        <v>62</v>
      </c>
      <c r="D6" s="2" t="s">
        <v>56</v>
      </c>
      <c r="E6" s="2" t="s">
        <v>57</v>
      </c>
      <c r="F6" s="2" t="s">
        <v>58</v>
      </c>
      <c r="G6" s="4">
        <v>0.01</v>
      </c>
      <c r="H6" s="4">
        <v>112.05</v>
      </c>
      <c r="I6" s="4">
        <v>-4.8895999999999997</v>
      </c>
      <c r="J6" s="4">
        <v>-4.8895999999999997</v>
      </c>
      <c r="K6" s="4"/>
      <c r="L6" s="5">
        <v>300</v>
      </c>
      <c r="M6" s="5">
        <v>336.15</v>
      </c>
      <c r="N6" s="2" t="s">
        <v>14</v>
      </c>
      <c r="O6">
        <f t="shared" si="0"/>
        <v>30000</v>
      </c>
    </row>
    <row r="7" spans="1:15" x14ac:dyDescent="0.3">
      <c r="A7" s="2" t="s">
        <v>63</v>
      </c>
      <c r="B7" s="3">
        <v>46251</v>
      </c>
      <c r="C7" s="2" t="s">
        <v>64</v>
      </c>
      <c r="D7" s="2" t="s">
        <v>56</v>
      </c>
      <c r="E7" s="2" t="s">
        <v>57</v>
      </c>
      <c r="F7" s="2" t="s">
        <v>58</v>
      </c>
      <c r="G7" s="4">
        <v>0.01</v>
      </c>
      <c r="H7" s="4">
        <v>112.05</v>
      </c>
      <c r="I7" s="4">
        <v>-4.8895999999999997</v>
      </c>
      <c r="J7" s="4">
        <v>-4.8895999999999997</v>
      </c>
      <c r="K7" s="4"/>
      <c r="L7" s="5">
        <v>400</v>
      </c>
      <c r="M7" s="5">
        <v>448.2</v>
      </c>
      <c r="N7" s="2" t="s">
        <v>14</v>
      </c>
      <c r="O7">
        <f t="shared" si="0"/>
        <v>40000</v>
      </c>
    </row>
    <row r="8" spans="1:15" x14ac:dyDescent="0.3">
      <c r="A8" s="2" t="s">
        <v>15</v>
      </c>
      <c r="B8" s="3">
        <v>46251</v>
      </c>
      <c r="C8" s="2" t="s">
        <v>16</v>
      </c>
      <c r="D8" s="2" t="s">
        <v>17</v>
      </c>
      <c r="E8" s="2" t="s">
        <v>18</v>
      </c>
      <c r="F8" s="2" t="s">
        <v>19</v>
      </c>
      <c r="G8" s="4">
        <v>0.01</v>
      </c>
      <c r="H8" s="4">
        <v>106.97</v>
      </c>
      <c r="I8" s="4">
        <v>-2.2214</v>
      </c>
      <c r="J8" s="4">
        <v>-2.2214</v>
      </c>
      <c r="K8" s="4"/>
      <c r="L8" s="5">
        <v>500</v>
      </c>
      <c r="M8" s="7">
        <v>534.85</v>
      </c>
      <c r="N8" s="2" t="s">
        <v>14</v>
      </c>
      <c r="O8">
        <f t="shared" si="0"/>
        <v>50000</v>
      </c>
    </row>
    <row r="9" spans="1:15" x14ac:dyDescent="0.3">
      <c r="A9" s="2" t="s">
        <v>20</v>
      </c>
      <c r="B9" s="3">
        <v>46251</v>
      </c>
      <c r="C9" s="2" t="s">
        <v>21</v>
      </c>
      <c r="D9" s="2" t="s">
        <v>17</v>
      </c>
      <c r="E9" s="2" t="s">
        <v>18</v>
      </c>
      <c r="F9" s="2" t="s">
        <v>19</v>
      </c>
      <c r="G9" s="4">
        <v>0.01</v>
      </c>
      <c r="H9" s="4">
        <v>106.97</v>
      </c>
      <c r="I9" s="4">
        <v>-2.2214</v>
      </c>
      <c r="J9" s="4">
        <v>-2.2214</v>
      </c>
      <c r="K9" s="4"/>
      <c r="L9" s="5">
        <v>500</v>
      </c>
      <c r="M9" s="7">
        <v>534.85</v>
      </c>
      <c r="N9" s="2" t="s">
        <v>14</v>
      </c>
      <c r="O9">
        <f t="shared" si="0"/>
        <v>50000</v>
      </c>
    </row>
    <row r="10" spans="1:15" x14ac:dyDescent="0.3">
      <c r="A10" s="2" t="s">
        <v>22</v>
      </c>
      <c r="B10" s="3">
        <v>46251</v>
      </c>
      <c r="C10" s="2" t="s">
        <v>23</v>
      </c>
      <c r="D10" s="2" t="s">
        <v>17</v>
      </c>
      <c r="E10" s="2" t="s">
        <v>18</v>
      </c>
      <c r="F10" s="2" t="s">
        <v>19</v>
      </c>
      <c r="G10" s="4">
        <v>0.01</v>
      </c>
      <c r="H10" s="4">
        <v>106.97</v>
      </c>
      <c r="I10" s="4">
        <v>-2.2214</v>
      </c>
      <c r="J10" s="4">
        <v>-2.2214</v>
      </c>
      <c r="K10" s="4"/>
      <c r="L10" s="5">
        <v>400</v>
      </c>
      <c r="M10" s="7">
        <v>427.88</v>
      </c>
      <c r="N10" s="2" t="s">
        <v>14</v>
      </c>
      <c r="O10">
        <f t="shared" si="0"/>
        <v>40000</v>
      </c>
    </row>
    <row r="11" spans="1:15" x14ac:dyDescent="0.3">
      <c r="A11" s="2" t="s">
        <v>24</v>
      </c>
      <c r="B11" s="3">
        <v>46251</v>
      </c>
      <c r="C11" s="2" t="s">
        <v>25</v>
      </c>
      <c r="D11" s="2" t="s">
        <v>17</v>
      </c>
      <c r="E11" s="2" t="s">
        <v>18</v>
      </c>
      <c r="F11" s="2" t="s">
        <v>19</v>
      </c>
      <c r="G11" s="4">
        <v>0.01</v>
      </c>
      <c r="H11" s="4">
        <v>106.97</v>
      </c>
      <c r="I11" s="4">
        <v>-2.2214</v>
      </c>
      <c r="J11" s="4">
        <v>-2.2214</v>
      </c>
      <c r="K11" s="4"/>
      <c r="L11" s="5">
        <v>600</v>
      </c>
      <c r="M11" s="7">
        <v>641.82000000000005</v>
      </c>
      <c r="N11" s="2" t="s">
        <v>14</v>
      </c>
      <c r="O11">
        <f t="shared" si="0"/>
        <v>60000.000000000007</v>
      </c>
    </row>
    <row r="12" spans="1:15" x14ac:dyDescent="0.3">
      <c r="A12" s="2" t="s">
        <v>26</v>
      </c>
      <c r="B12" s="3">
        <v>46251</v>
      </c>
      <c r="C12" s="2" t="s">
        <v>27</v>
      </c>
      <c r="D12" s="2" t="s">
        <v>17</v>
      </c>
      <c r="E12" s="2" t="s">
        <v>18</v>
      </c>
      <c r="F12" s="2" t="s">
        <v>19</v>
      </c>
      <c r="G12" s="4">
        <v>0.01</v>
      </c>
      <c r="H12" s="4">
        <v>107</v>
      </c>
      <c r="I12" s="4">
        <v>-2.2305999999999999</v>
      </c>
      <c r="J12" s="4">
        <v>-2.2305999999999999</v>
      </c>
      <c r="K12" s="4"/>
      <c r="L12" s="5">
        <v>400</v>
      </c>
      <c r="M12" s="7">
        <v>428</v>
      </c>
      <c r="N12" s="2" t="s">
        <v>14</v>
      </c>
      <c r="O12">
        <f t="shared" si="0"/>
        <v>40000</v>
      </c>
    </row>
    <row r="13" spans="1:15" x14ac:dyDescent="0.3">
      <c r="A13" s="2" t="s">
        <v>40</v>
      </c>
      <c r="B13" s="3">
        <v>46251</v>
      </c>
      <c r="C13" s="2" t="s">
        <v>41</v>
      </c>
      <c r="D13" s="2" t="s">
        <v>17</v>
      </c>
      <c r="E13" s="2" t="s">
        <v>18</v>
      </c>
      <c r="F13" s="2" t="s">
        <v>19</v>
      </c>
      <c r="G13" s="4">
        <v>0.01</v>
      </c>
      <c r="H13" s="4">
        <v>100.5</v>
      </c>
      <c r="I13" s="4">
        <v>-0.15690000000000001</v>
      </c>
      <c r="J13" s="4">
        <v>-0.15690000000000001</v>
      </c>
      <c r="K13" s="4"/>
      <c r="L13" s="5">
        <v>2000</v>
      </c>
      <c r="M13" s="7">
        <v>2010</v>
      </c>
      <c r="N13" s="2" t="s">
        <v>14</v>
      </c>
      <c r="O13">
        <f t="shared" si="0"/>
        <v>200000</v>
      </c>
    </row>
    <row r="14" spans="1:15" x14ac:dyDescent="0.3">
      <c r="A14" s="2" t="s">
        <v>46</v>
      </c>
      <c r="B14" s="3">
        <v>46251</v>
      </c>
      <c r="C14" s="2" t="s">
        <v>47</v>
      </c>
      <c r="D14" s="2" t="s">
        <v>17</v>
      </c>
      <c r="E14" s="2" t="s">
        <v>18</v>
      </c>
      <c r="F14" s="2" t="s">
        <v>19</v>
      </c>
      <c r="G14" s="4">
        <v>0.01</v>
      </c>
      <c r="H14" s="4">
        <v>100.55</v>
      </c>
      <c r="I14" s="4">
        <v>-0.17349999999999999</v>
      </c>
      <c r="J14" s="4">
        <v>-0.17349999999999999</v>
      </c>
      <c r="K14" s="4"/>
      <c r="L14" s="5">
        <v>2000</v>
      </c>
      <c r="M14" s="7">
        <v>2011</v>
      </c>
      <c r="N14" s="2" t="s">
        <v>14</v>
      </c>
      <c r="O14">
        <f t="shared" si="0"/>
        <v>200000</v>
      </c>
    </row>
    <row r="15" spans="1:15" x14ac:dyDescent="0.3">
      <c r="A15" s="2" t="s">
        <v>48</v>
      </c>
      <c r="B15" s="3">
        <v>46251</v>
      </c>
      <c r="C15" s="2" t="s">
        <v>49</v>
      </c>
      <c r="D15" s="2" t="s">
        <v>17</v>
      </c>
      <c r="E15" s="2" t="s">
        <v>18</v>
      </c>
      <c r="F15" s="2" t="s">
        <v>19</v>
      </c>
      <c r="G15" s="4">
        <v>0.01</v>
      </c>
      <c r="H15" s="4">
        <v>100.1</v>
      </c>
      <c r="I15" s="4">
        <v>-2.35E-2</v>
      </c>
      <c r="J15" s="4">
        <v>-2.35E-2</v>
      </c>
      <c r="K15" s="4"/>
      <c r="L15" s="5">
        <v>2000</v>
      </c>
      <c r="M15" s="7">
        <v>2002</v>
      </c>
      <c r="N15" s="2" t="s">
        <v>14</v>
      </c>
      <c r="O15">
        <f t="shared" si="0"/>
        <v>200000</v>
      </c>
    </row>
    <row r="16" spans="1:15" x14ac:dyDescent="0.3">
      <c r="A16" s="2" t="s">
        <v>50</v>
      </c>
      <c r="B16" s="3">
        <v>46251</v>
      </c>
      <c r="C16" s="2" t="s">
        <v>51</v>
      </c>
      <c r="D16" s="2" t="s">
        <v>17</v>
      </c>
      <c r="E16" s="2" t="s">
        <v>18</v>
      </c>
      <c r="F16" s="2" t="s">
        <v>19</v>
      </c>
      <c r="G16" s="4">
        <v>0.01</v>
      </c>
      <c r="H16" s="4">
        <v>106.97</v>
      </c>
      <c r="I16" s="4">
        <v>-2.2214</v>
      </c>
      <c r="J16" s="4">
        <v>-2.2214</v>
      </c>
      <c r="K16" s="4"/>
      <c r="L16" s="5">
        <v>900</v>
      </c>
      <c r="M16" s="7">
        <v>962.73</v>
      </c>
      <c r="N16" s="2" t="s">
        <v>14</v>
      </c>
      <c r="O16">
        <f t="shared" si="0"/>
        <v>90000</v>
      </c>
    </row>
    <row r="17" spans="1:15" x14ac:dyDescent="0.3">
      <c r="A17" s="2" t="s">
        <v>52</v>
      </c>
      <c r="B17" s="3">
        <v>46251</v>
      </c>
      <c r="C17" s="2" t="s">
        <v>53</v>
      </c>
      <c r="D17" s="2" t="s">
        <v>17</v>
      </c>
      <c r="E17" s="2" t="s">
        <v>18</v>
      </c>
      <c r="F17" s="2" t="s">
        <v>19</v>
      </c>
      <c r="G17" s="4">
        <v>0.01</v>
      </c>
      <c r="H17" s="4">
        <v>106.97</v>
      </c>
      <c r="I17" s="4">
        <v>-2.2214</v>
      </c>
      <c r="J17" s="4">
        <v>-2.2214</v>
      </c>
      <c r="K17" s="4"/>
      <c r="L17" s="5">
        <v>1000</v>
      </c>
      <c r="M17" s="7">
        <v>1069.7</v>
      </c>
      <c r="N17" s="2" t="s">
        <v>14</v>
      </c>
      <c r="O17">
        <f t="shared" si="0"/>
        <v>100000</v>
      </c>
    </row>
    <row r="18" spans="1:15" x14ac:dyDescent="0.3">
      <c r="A18" s="2" t="s">
        <v>65</v>
      </c>
      <c r="B18" s="3">
        <v>46251</v>
      </c>
      <c r="C18" s="2" t="s">
        <v>66</v>
      </c>
      <c r="D18" s="2" t="s">
        <v>17</v>
      </c>
      <c r="E18" s="2" t="s">
        <v>18</v>
      </c>
      <c r="F18" s="2" t="s">
        <v>19</v>
      </c>
      <c r="G18" s="4">
        <v>0.01</v>
      </c>
      <c r="H18" s="4">
        <v>100.5</v>
      </c>
      <c r="I18" s="4">
        <v>-0.15690000000000001</v>
      </c>
      <c r="J18" s="4">
        <v>-0.15690000000000001</v>
      </c>
      <c r="K18" s="4"/>
      <c r="L18" s="5">
        <v>1000</v>
      </c>
      <c r="M18" s="7">
        <v>1005</v>
      </c>
      <c r="N18" s="2" t="s">
        <v>14</v>
      </c>
      <c r="O18">
        <f t="shared" si="0"/>
        <v>100000</v>
      </c>
    </row>
    <row r="19" spans="1:15" x14ac:dyDescent="0.3">
      <c r="A19" s="2" t="s">
        <v>67</v>
      </c>
      <c r="B19" s="3">
        <v>46251</v>
      </c>
      <c r="C19" s="2" t="s">
        <v>68</v>
      </c>
      <c r="D19" s="2" t="s">
        <v>17</v>
      </c>
      <c r="E19" s="2" t="s">
        <v>18</v>
      </c>
      <c r="F19" s="2" t="s">
        <v>19</v>
      </c>
      <c r="G19" s="4">
        <v>0.01</v>
      </c>
      <c r="H19" s="4">
        <v>100.5</v>
      </c>
      <c r="I19" s="4">
        <v>-0.15690000000000001</v>
      </c>
      <c r="J19" s="4">
        <v>-0.15690000000000001</v>
      </c>
      <c r="K19" s="4"/>
      <c r="L19" s="5">
        <v>1000</v>
      </c>
      <c r="M19" s="7">
        <v>1005</v>
      </c>
      <c r="N19" s="2" t="s">
        <v>14</v>
      </c>
      <c r="O19">
        <f t="shared" si="0"/>
        <v>100000</v>
      </c>
    </row>
    <row r="20" spans="1:15" x14ac:dyDescent="0.3">
      <c r="A20" s="2" t="s">
        <v>69</v>
      </c>
      <c r="B20" s="3">
        <v>46251</v>
      </c>
      <c r="C20" s="2" t="s">
        <v>70</v>
      </c>
      <c r="D20" s="2" t="s">
        <v>17</v>
      </c>
      <c r="E20" s="2" t="s">
        <v>18</v>
      </c>
      <c r="F20" s="2" t="s">
        <v>19</v>
      </c>
      <c r="G20" s="4">
        <v>0.01</v>
      </c>
      <c r="H20" s="4">
        <v>107</v>
      </c>
      <c r="I20" s="4">
        <v>-2.2305999999999999</v>
      </c>
      <c r="J20" s="4">
        <v>-2.2305999999999999</v>
      </c>
      <c r="K20" s="4"/>
      <c r="L20" s="5">
        <v>500</v>
      </c>
      <c r="M20" s="7">
        <v>535</v>
      </c>
      <c r="N20" s="2" t="s">
        <v>14</v>
      </c>
      <c r="O20">
        <f t="shared" si="0"/>
        <v>50000</v>
      </c>
    </row>
    <row r="21" spans="1:15" x14ac:dyDescent="0.3">
      <c r="A21" s="2" t="s">
        <v>71</v>
      </c>
      <c r="B21" s="3">
        <v>46251</v>
      </c>
      <c r="C21" s="2" t="s">
        <v>72</v>
      </c>
      <c r="D21" s="2" t="s">
        <v>17</v>
      </c>
      <c r="E21" s="2" t="s">
        <v>18</v>
      </c>
      <c r="F21" s="2" t="s">
        <v>19</v>
      </c>
      <c r="G21" s="4">
        <v>0.01</v>
      </c>
      <c r="H21" s="4">
        <v>107</v>
      </c>
      <c r="I21" s="4">
        <v>-2.2305999999999999</v>
      </c>
      <c r="J21" s="4">
        <v>-2.2305999999999999</v>
      </c>
      <c r="K21" s="4"/>
      <c r="L21" s="5">
        <v>800</v>
      </c>
      <c r="M21" s="7">
        <v>856</v>
      </c>
      <c r="N21" s="2" t="s">
        <v>14</v>
      </c>
      <c r="O21">
        <f t="shared" si="0"/>
        <v>80000</v>
      </c>
    </row>
    <row r="22" spans="1:15" x14ac:dyDescent="0.3">
      <c r="A22" s="2" t="s">
        <v>73</v>
      </c>
      <c r="B22" s="3">
        <v>46251</v>
      </c>
      <c r="C22" s="2" t="s">
        <v>74</v>
      </c>
      <c r="D22" s="2" t="s">
        <v>17</v>
      </c>
      <c r="E22" s="2" t="s">
        <v>18</v>
      </c>
      <c r="F22" s="2" t="s">
        <v>19</v>
      </c>
      <c r="G22" s="4">
        <v>0.01</v>
      </c>
      <c r="H22" s="4">
        <v>107</v>
      </c>
      <c r="I22" s="4">
        <v>-2.2305999999999999</v>
      </c>
      <c r="J22" s="4">
        <v>-2.2305999999999999</v>
      </c>
      <c r="K22" s="4"/>
      <c r="L22" s="5">
        <v>500</v>
      </c>
      <c r="M22" s="7">
        <v>535</v>
      </c>
      <c r="N22" s="2" t="s">
        <v>14</v>
      </c>
      <c r="O22">
        <f t="shared" si="0"/>
        <v>50000</v>
      </c>
    </row>
    <row r="23" spans="1:15" x14ac:dyDescent="0.3">
      <c r="A23" s="2" t="s">
        <v>75</v>
      </c>
      <c r="B23" s="3">
        <v>46251</v>
      </c>
      <c r="C23" s="2" t="s">
        <v>76</v>
      </c>
      <c r="D23" s="2" t="s">
        <v>17</v>
      </c>
      <c r="E23" s="2" t="s">
        <v>18</v>
      </c>
      <c r="F23" s="2" t="s">
        <v>19</v>
      </c>
      <c r="G23" s="4">
        <v>0.01</v>
      </c>
      <c r="H23" s="4">
        <v>107</v>
      </c>
      <c r="I23" s="4">
        <v>-2.2305999999999999</v>
      </c>
      <c r="J23" s="4">
        <v>-2.2305999999999999</v>
      </c>
      <c r="K23" s="4"/>
      <c r="L23" s="5">
        <v>400</v>
      </c>
      <c r="M23" s="7">
        <v>428</v>
      </c>
      <c r="N23" s="2" t="s">
        <v>14</v>
      </c>
      <c r="O23">
        <f t="shared" si="0"/>
        <v>40000</v>
      </c>
    </row>
    <row r="24" spans="1:15" x14ac:dyDescent="0.3">
      <c r="A24" s="2" t="s">
        <v>77</v>
      </c>
      <c r="B24" s="3">
        <v>46251</v>
      </c>
      <c r="C24" s="2" t="s">
        <v>78</v>
      </c>
      <c r="D24" s="2" t="s">
        <v>17</v>
      </c>
      <c r="E24" s="2" t="s">
        <v>18</v>
      </c>
      <c r="F24" s="2" t="s">
        <v>19</v>
      </c>
      <c r="G24" s="4">
        <v>0.01</v>
      </c>
      <c r="H24" s="4">
        <v>107</v>
      </c>
      <c r="I24" s="4">
        <v>-2.2305999999999999</v>
      </c>
      <c r="J24" s="4">
        <v>-2.2305999999999999</v>
      </c>
      <c r="K24" s="4"/>
      <c r="L24" s="5">
        <v>600</v>
      </c>
      <c r="M24" s="7">
        <v>642</v>
      </c>
      <c r="N24" s="2" t="s">
        <v>14</v>
      </c>
      <c r="O24">
        <f t="shared" si="0"/>
        <v>60000</v>
      </c>
    </row>
    <row r="25" spans="1:15" x14ac:dyDescent="0.3">
      <c r="A25" s="2" t="s">
        <v>79</v>
      </c>
      <c r="B25" s="3">
        <v>46251</v>
      </c>
      <c r="C25" s="2" t="s">
        <v>80</v>
      </c>
      <c r="D25" s="2" t="s">
        <v>17</v>
      </c>
      <c r="E25" s="2" t="s">
        <v>18</v>
      </c>
      <c r="F25" s="2" t="s">
        <v>19</v>
      </c>
      <c r="G25" s="4">
        <v>0.01</v>
      </c>
      <c r="H25" s="4">
        <v>107</v>
      </c>
      <c r="I25" s="4">
        <v>-2.2305999999999999</v>
      </c>
      <c r="J25" s="4">
        <v>-2.2305999999999999</v>
      </c>
      <c r="K25" s="4"/>
      <c r="L25" s="5">
        <v>900</v>
      </c>
      <c r="M25" s="7">
        <v>963</v>
      </c>
      <c r="N25" s="2" t="s">
        <v>14</v>
      </c>
      <c r="O25">
        <f t="shared" si="0"/>
        <v>90000</v>
      </c>
    </row>
    <row r="26" spans="1:15" x14ac:dyDescent="0.3">
      <c r="A26" s="2" t="s">
        <v>81</v>
      </c>
      <c r="B26" s="3">
        <v>46251</v>
      </c>
      <c r="C26" s="2" t="s">
        <v>82</v>
      </c>
      <c r="D26" s="2" t="s">
        <v>17</v>
      </c>
      <c r="E26" s="2" t="s">
        <v>18</v>
      </c>
      <c r="F26" s="2" t="s">
        <v>19</v>
      </c>
      <c r="G26" s="4">
        <v>0.01</v>
      </c>
      <c r="H26" s="4">
        <v>107</v>
      </c>
      <c r="I26" s="4">
        <v>-2.2305999999999999</v>
      </c>
      <c r="J26" s="4">
        <v>-2.2305999999999999</v>
      </c>
      <c r="K26" s="4"/>
      <c r="L26" s="5">
        <v>1000</v>
      </c>
      <c r="M26" s="7">
        <v>1070</v>
      </c>
      <c r="N26" s="2" t="s">
        <v>14</v>
      </c>
      <c r="O26">
        <f t="shared" si="0"/>
        <v>100000</v>
      </c>
    </row>
    <row r="27" spans="1:15" x14ac:dyDescent="0.3">
      <c r="A27" s="2" t="s">
        <v>83</v>
      </c>
      <c r="B27" s="3">
        <v>46251</v>
      </c>
      <c r="C27" s="2" t="s">
        <v>84</v>
      </c>
      <c r="D27" s="2" t="s">
        <v>17</v>
      </c>
      <c r="E27" s="2" t="s">
        <v>18</v>
      </c>
      <c r="F27" s="2" t="s">
        <v>19</v>
      </c>
      <c r="G27" s="4">
        <v>0.01</v>
      </c>
      <c r="H27" s="4">
        <v>100.55</v>
      </c>
      <c r="I27" s="4">
        <v>-0.17349999999999999</v>
      </c>
      <c r="J27" s="4">
        <v>-0.17349999999999999</v>
      </c>
      <c r="K27" s="4"/>
      <c r="L27" s="5">
        <v>1000</v>
      </c>
      <c r="M27" s="7">
        <v>1005.5</v>
      </c>
      <c r="N27" s="2" t="s">
        <v>14</v>
      </c>
      <c r="O27">
        <f t="shared" si="0"/>
        <v>100000</v>
      </c>
    </row>
    <row r="28" spans="1:15" x14ac:dyDescent="0.3">
      <c r="A28" s="2" t="s">
        <v>85</v>
      </c>
      <c r="B28" s="3">
        <v>46251</v>
      </c>
      <c r="C28" s="2" t="s">
        <v>86</v>
      </c>
      <c r="D28" s="2" t="s">
        <v>17</v>
      </c>
      <c r="E28" s="2" t="s">
        <v>18</v>
      </c>
      <c r="F28" s="2" t="s">
        <v>19</v>
      </c>
      <c r="G28" s="4">
        <v>0.01</v>
      </c>
      <c r="H28" s="4">
        <v>100.55</v>
      </c>
      <c r="I28" s="4">
        <v>-0.17349999999999999</v>
      </c>
      <c r="J28" s="4">
        <v>-0.17349999999999999</v>
      </c>
      <c r="K28" s="4"/>
      <c r="L28" s="5">
        <v>1000</v>
      </c>
      <c r="M28" s="7">
        <v>1005.5</v>
      </c>
      <c r="N28" s="2" t="s">
        <v>14</v>
      </c>
      <c r="O28">
        <f t="shared" si="0"/>
        <v>100000</v>
      </c>
    </row>
    <row r="29" spans="1:15" x14ac:dyDescent="0.3">
      <c r="A29" s="2" t="s">
        <v>87</v>
      </c>
      <c r="B29" s="3">
        <v>46251</v>
      </c>
      <c r="C29" s="2" t="s">
        <v>88</v>
      </c>
      <c r="D29" s="2" t="s">
        <v>17</v>
      </c>
      <c r="E29" s="2" t="s">
        <v>18</v>
      </c>
      <c r="F29" s="2" t="s">
        <v>19</v>
      </c>
      <c r="G29" s="4">
        <v>0.01</v>
      </c>
      <c r="H29" s="4">
        <v>107</v>
      </c>
      <c r="I29" s="4">
        <v>-2.2305999999999999</v>
      </c>
      <c r="J29" s="4">
        <v>-2.2305999999999999</v>
      </c>
      <c r="K29" s="4"/>
      <c r="L29" s="5">
        <v>900</v>
      </c>
      <c r="M29" s="7">
        <v>963</v>
      </c>
      <c r="N29" s="2" t="s">
        <v>14</v>
      </c>
      <c r="O29">
        <f t="shared" si="0"/>
        <v>90000</v>
      </c>
    </row>
    <row r="30" spans="1:15" x14ac:dyDescent="0.3">
      <c r="A30" s="2" t="s">
        <v>28</v>
      </c>
      <c r="B30" s="3">
        <v>46251</v>
      </c>
      <c r="C30" s="2" t="s">
        <v>29</v>
      </c>
      <c r="D30" s="2" t="s">
        <v>30</v>
      </c>
      <c r="E30" s="2" t="s">
        <v>31</v>
      </c>
      <c r="F30" s="2" t="s">
        <v>32</v>
      </c>
      <c r="G30" s="4">
        <v>0.1</v>
      </c>
      <c r="H30" s="4">
        <v>106.65</v>
      </c>
      <c r="I30" s="4">
        <v>-2.2761</v>
      </c>
      <c r="J30" s="4">
        <v>-2.2761</v>
      </c>
      <c r="K30" s="4"/>
      <c r="L30" s="5">
        <v>1000</v>
      </c>
      <c r="M30" s="5">
        <v>1066.5</v>
      </c>
      <c r="N30" s="2" t="s">
        <v>14</v>
      </c>
      <c r="O30">
        <f t="shared" si="0"/>
        <v>100000</v>
      </c>
    </row>
    <row r="31" spans="1:15" x14ac:dyDescent="0.3">
      <c r="A31" s="2" t="s">
        <v>33</v>
      </c>
      <c r="B31" s="3">
        <v>46251</v>
      </c>
      <c r="C31" s="2" t="s">
        <v>34</v>
      </c>
      <c r="D31" s="2" t="s">
        <v>30</v>
      </c>
      <c r="E31" s="2" t="s">
        <v>31</v>
      </c>
      <c r="F31" s="2" t="s">
        <v>32</v>
      </c>
      <c r="G31" s="4">
        <v>0.1</v>
      </c>
      <c r="H31" s="4">
        <v>106.6</v>
      </c>
      <c r="I31" s="4">
        <v>-2.2589999999999999</v>
      </c>
      <c r="J31" s="4">
        <v>-2.2589999999999999</v>
      </c>
      <c r="K31" s="4"/>
      <c r="L31" s="5">
        <v>1000</v>
      </c>
      <c r="M31" s="5">
        <v>1066</v>
      </c>
      <c r="N31" s="2" t="s">
        <v>14</v>
      </c>
      <c r="O31">
        <f t="shared" si="0"/>
        <v>100000</v>
      </c>
    </row>
    <row r="32" spans="1:15" x14ac:dyDescent="0.3">
      <c r="A32" s="2" t="s">
        <v>42</v>
      </c>
      <c r="B32" s="3">
        <v>46251</v>
      </c>
      <c r="C32" s="2" t="s">
        <v>43</v>
      </c>
      <c r="D32" s="2" t="s">
        <v>30</v>
      </c>
      <c r="E32" s="2" t="s">
        <v>31</v>
      </c>
      <c r="F32" s="2" t="s">
        <v>32</v>
      </c>
      <c r="G32" s="4">
        <v>0.1</v>
      </c>
      <c r="H32" s="4">
        <v>106.55</v>
      </c>
      <c r="I32" s="4">
        <v>-2.2418999999999998</v>
      </c>
      <c r="J32" s="4">
        <v>-2.2418999999999998</v>
      </c>
      <c r="K32" s="4"/>
      <c r="L32" s="5">
        <v>1800</v>
      </c>
      <c r="M32" s="5">
        <v>1917.9</v>
      </c>
      <c r="N32" s="2" t="s">
        <v>14</v>
      </c>
      <c r="O32">
        <f t="shared" si="0"/>
        <v>180000</v>
      </c>
    </row>
    <row r="33" spans="1:15" x14ac:dyDescent="0.3">
      <c r="A33" s="2" t="s">
        <v>89</v>
      </c>
      <c r="B33" s="3">
        <v>46251</v>
      </c>
      <c r="C33" s="2" t="s">
        <v>90</v>
      </c>
      <c r="D33" s="2" t="s">
        <v>30</v>
      </c>
      <c r="E33" s="2" t="s">
        <v>31</v>
      </c>
      <c r="F33" s="2" t="s">
        <v>32</v>
      </c>
      <c r="G33" s="4">
        <v>0.1</v>
      </c>
      <c r="H33" s="4">
        <v>106.55</v>
      </c>
      <c r="I33" s="4">
        <v>-2.2418999999999998</v>
      </c>
      <c r="J33" s="4">
        <v>-2.2418999999999998</v>
      </c>
      <c r="K33" s="4"/>
      <c r="L33" s="5">
        <v>200</v>
      </c>
      <c r="M33" s="5">
        <v>213.1</v>
      </c>
      <c r="N33" s="2" t="s">
        <v>14</v>
      </c>
      <c r="O33">
        <f t="shared" si="0"/>
        <v>20000</v>
      </c>
    </row>
    <row r="35" spans="1:15" x14ac:dyDescent="0.3">
      <c r="A35" t="s">
        <v>91</v>
      </c>
      <c r="B35" s="6" t="s">
        <v>92</v>
      </c>
      <c r="C35" t="s">
        <v>91</v>
      </c>
      <c r="D35" t="s">
        <v>91</v>
      </c>
      <c r="E35" t="s">
        <v>91</v>
      </c>
      <c r="F35" t="s">
        <v>91</v>
      </c>
      <c r="G35" t="s">
        <v>91</v>
      </c>
      <c r="H35" t="s">
        <v>91</v>
      </c>
      <c r="I35" t="s">
        <v>91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</row>
  </sheetData>
  <autoFilter ref="A1:N1" xr:uid="{00000000-0001-0000-0000-000000000000}">
    <sortState xmlns:xlrd2="http://schemas.microsoft.com/office/spreadsheetml/2017/richdata2" ref="A2:N33">
      <sortCondition ref="E1"/>
    </sortState>
  </autoFilter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zhangjy@myeasy.com.cn</cp:lastModifiedBy>
  <dcterms:modified xsi:type="dcterms:W3CDTF">2026-08-18T02:34:11Z</dcterms:modified>
</cp:coreProperties>
</file>